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ivat\rabbit-house\docs\v3\"/>
    </mc:Choice>
  </mc:AlternateContent>
  <xr:revisionPtr revIDLastSave="0" documentId="13_ncr:1_{A9BE053C-91E1-4C31-9967-1CFAB548DBD2}" xr6:coauthVersionLast="47" xr6:coauthVersionMax="47" xr10:uidLastSave="{00000000-0000-0000-0000-000000000000}"/>
  <bookViews>
    <workbookView xWindow="22245" yWindow="675" windowWidth="34095" windowHeight="18300" activeTab="1" xr2:uid="{5334E723-DA25-4B94-9819-AB5A8FEA0E43}"/>
  </bookViews>
  <sheets>
    <sheet name="materialeliste" sheetId="1" r:id="rId1"/>
    <sheet name="tagkonstruktion_tagpa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F12" i="2"/>
  <c r="F15" i="2"/>
  <c r="F11" i="2"/>
  <c r="F10" i="2"/>
  <c r="F20" i="2"/>
  <c r="F16" i="2"/>
  <c r="F7" i="2"/>
  <c r="F5" i="2"/>
  <c r="F20" i="1"/>
  <c r="F18" i="1"/>
  <c r="F29" i="1"/>
  <c r="F25" i="1"/>
  <c r="F26" i="1"/>
  <c r="F24" i="1"/>
  <c r="F7" i="1"/>
  <c r="F8" i="1"/>
  <c r="F14" i="1"/>
  <c r="F13" i="1"/>
  <c r="F12" i="1"/>
  <c r="F11" i="1"/>
  <c r="F10" i="1"/>
  <c r="F5" i="1"/>
  <c r="F4" i="1"/>
  <c r="F6" i="1"/>
  <c r="F3" i="1"/>
  <c r="F2" i="1"/>
  <c r="M3" i="1" l="1"/>
  <c r="M4" i="1"/>
</calcChain>
</file>

<file path=xl/sharedStrings.xml><?xml version="1.0" encoding="utf-8"?>
<sst xmlns="http://schemas.openxmlformats.org/spreadsheetml/2006/main" count="201" uniqueCount="76">
  <si>
    <t>Kategori</t>
  </si>
  <si>
    <t>Vare</t>
  </si>
  <si>
    <t>Antal</t>
  </si>
  <si>
    <t>Enhed</t>
  </si>
  <si>
    <t>Pris pr. enhed (DKK)</t>
  </si>
  <si>
    <t>I alt (DKK)</t>
  </si>
  <si>
    <t>Noter</t>
  </si>
  <si>
    <t>Fundament</t>
  </si>
  <si>
    <t>Stabilgrus 0-32 mm</t>
  </si>
  <si>
    <t>stk</t>
  </si>
  <si>
    <t>Cement 25 kg</t>
  </si>
  <si>
    <t>Leverandør</t>
  </si>
  <si>
    <t>ca. 0,6 m³, 1.750 kg. pr. m³, (0,55 kr. pr. kg.)</t>
  </si>
  <si>
    <t>kg</t>
  </si>
  <si>
    <t>materialepladsen.dk</t>
  </si>
  <si>
    <t>Behov for 117 stk. Køber 120 så der er lidt til over til behov. Vi har 82 stk. nu.</t>
  </si>
  <si>
    <t>jemogfix.dk</t>
  </si>
  <si>
    <t>ca. 0,9 m³, 1.650 kg. pr. m³, (0,66 kr. pr. kg.)</t>
  </si>
  <si>
    <t>Armeringsjern</t>
  </si>
  <si>
    <t>Ø-8 mm 3 meter længde</t>
  </si>
  <si>
    <t>1:4 blandingsforhold. 25kg ~ 18 L</t>
  </si>
  <si>
    <t>Prisoverslag</t>
  </si>
  <si>
    <t>Konstruktion</t>
  </si>
  <si>
    <t>Murpap</t>
  </si>
  <si>
    <t xml:space="preserve">11 cm * 20 meter </t>
  </si>
  <si>
    <t>Bundrem</t>
  </si>
  <si>
    <t>Toprem</t>
  </si>
  <si>
    <t>Reglar</t>
  </si>
  <si>
    <t>Reglar 45 x 95 x 3600 mm PT NTR-AB</t>
  </si>
  <si>
    <t>Reglar 45 x 95 x 2400 mm PT NTR-AB</t>
  </si>
  <si>
    <t>Reglar 47 x 100 x 3600 mm Gran C24</t>
  </si>
  <si>
    <t>Reglar 47 x 100 x 2400 mm Gran C24</t>
  </si>
  <si>
    <t>Tagkonstruktion</t>
  </si>
  <si>
    <t>Spær</t>
  </si>
  <si>
    <t>Tagrende</t>
  </si>
  <si>
    <t>Tagpap</t>
  </si>
  <si>
    <t>OSB-plader</t>
  </si>
  <si>
    <t>Beklædning</t>
  </si>
  <si>
    <t>Voliernet</t>
  </si>
  <si>
    <t>Klinkbeklædning</t>
  </si>
  <si>
    <t>Vindpap</t>
  </si>
  <si>
    <t>Klemmelister</t>
  </si>
  <si>
    <t>Isolering</t>
  </si>
  <si>
    <t>Spær 45x95x3000 mm Gran C24</t>
  </si>
  <si>
    <t>18 mm 244x125cm</t>
  </si>
  <si>
    <t>m</t>
  </si>
  <si>
    <t>Sternbræt</t>
  </si>
  <si>
    <t>Støbemix 0-16 mm</t>
  </si>
  <si>
    <t>Fundablok 50x20x15 cm</t>
  </si>
  <si>
    <t>110 mm med nedløb 65 mm. Bag-eave (LAV side, hvor vandet løber).</t>
  </si>
  <si>
    <t>Vinkelbeslag</t>
  </si>
  <si>
    <t>Tagpap-søm + skruer + forbrugsstof</t>
  </si>
  <si>
    <t>11*4 + 2*2</t>
  </si>
  <si>
    <t>Gevindstang M10</t>
  </si>
  <si>
    <t>Gevindstang M10 x 1000 mm</t>
  </si>
  <si>
    <t>M10 møtrikker</t>
  </si>
  <si>
    <t>pk.</t>
  </si>
  <si>
    <t>NKT Fasteners møtrik M10 12 stk.</t>
  </si>
  <si>
    <t>Tagfod</t>
  </si>
  <si>
    <t>Vindskede</t>
  </si>
  <si>
    <t>Tagfod sort aluminium 55 x 80 x 1000 mm</t>
  </si>
  <si>
    <t>Vindskede sort aluminium 75 x 20 x 80 x 1000 mm</t>
  </si>
  <si>
    <t>Murpap til Tagfod</t>
  </si>
  <si>
    <t>Phønix murpap 15 cm x 20 meter</t>
  </si>
  <si>
    <t>Alusøm 2,6 x 25 mm - 100 stk.</t>
  </si>
  <si>
    <t>Træværk</t>
  </si>
  <si>
    <t>21x120x3600 mm gran. Hele perimeter 19 m</t>
  </si>
  <si>
    <t>Tagdækning</t>
  </si>
  <si>
    <t>Phønix Selvbyggerpap 1×5 m</t>
  </si>
  <si>
    <t>Klæbeasfalt</t>
  </si>
  <si>
    <t>Phønix klæbeasfalt 310 ml</t>
  </si>
  <si>
    <t>Aluinddækning</t>
  </si>
  <si>
    <t>Vandhåndtering</t>
  </si>
  <si>
    <t>110 mm</t>
  </si>
  <si>
    <t>Reglar 45x95x3000 mm Gran C24</t>
  </si>
  <si>
    <t>OSB-3 plade TG4 18 mm - 2397 x 600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</si>
</sst>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kr.-406]_-;\-* #,##0.00\ [$kr.-406]_-;_-* &quot;-&quot;??\ [$kr.-406]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5">
    <xf numFmtId="0" fontId="0" fillId="0" borderId="0" xfId="0"/>
    <xf numFmtId="49" fontId="4" fillId="6" borderId="10" xfId="3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0" borderId="10" xfId="19" applyBorder="1" applyAlignment="1">
      <alignment horizontal="center" vertical="center"/>
    </xf>
    <xf numFmtId="0" fontId="18" fillId="0" borderId="10" xfId="42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3" fillId="0" borderId="1" xfId="2"/>
    <xf numFmtId="0" fontId="1" fillId="14" borderId="10" xfId="23" applyBorder="1" applyAlignment="1">
      <alignment horizontal="center" vertical="center"/>
    </xf>
    <xf numFmtId="0" fontId="1" fillId="18" borderId="10" xfId="27" applyBorder="1" applyAlignment="1">
      <alignment horizontal="center" vertical="center"/>
    </xf>
    <xf numFmtId="0" fontId="0" fillId="26" borderId="10" xfId="35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10" borderId="10" xfId="19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6" fillId="0" borderId="10" xfId="0" applyFont="1" applyBorder="1" applyAlignment="1">
      <alignment horizontal="center" vertical="center"/>
    </xf>
  </cellXfs>
  <cellStyles count="43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Link" xfId="42" builtinId="8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impraegneret-reglar-45-x-95-x-2400-mm/4310/9057358/" TargetMode="External"/><Relationship Id="rId13" Type="http://schemas.openxmlformats.org/officeDocument/2006/relationships/hyperlink" Target="https://www.jemogfix.dk/tagfod-sort-aluminium-55-x-80-x-1000-mm/4210/9058507/" TargetMode="External"/><Relationship Id="rId18" Type="http://schemas.openxmlformats.org/officeDocument/2006/relationships/hyperlink" Target="https://www.jemogfix.dk/impraegneret-stern-mellem-21-x-120-x-3600-mm/4321/9057378/" TargetMode="External"/><Relationship Id="rId3" Type="http://schemas.openxmlformats.org/officeDocument/2006/relationships/hyperlink" Target="https://materialepladsen.dk/produkter/grus/Stoebemix0-16mm" TargetMode="External"/><Relationship Id="rId7" Type="http://schemas.openxmlformats.org/officeDocument/2006/relationships/hyperlink" Target="https://www.jemogfix.dk/impraegneret-reglar-45-x-95-x-3600-mm/4310/9057360/" TargetMode="External"/><Relationship Id="rId12" Type="http://schemas.openxmlformats.org/officeDocument/2006/relationships/hyperlink" Target="https://www.jemogfix.dk/nkt-fasteners-moetrik-elforzinket-m10-12-stk/5118/9513052/" TargetMode="External"/><Relationship Id="rId17" Type="http://schemas.openxmlformats.org/officeDocument/2006/relationships/hyperlink" Target="https://www.jemogfix.dk/reglar-47-x-100-x-3000-mm/4110/9057296/" TargetMode="External"/><Relationship Id="rId2" Type="http://schemas.openxmlformats.org/officeDocument/2006/relationships/hyperlink" Target="https://www.jemogfix.dk/fundablok-graa-15-x-20-x-50-cm/4176/9033558/" TargetMode="External"/><Relationship Id="rId16" Type="http://schemas.openxmlformats.org/officeDocument/2006/relationships/hyperlink" Target="https://www.jemogfix.dk/alusoem-2-6-x-25-mm-100-stk/4210/9038151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phoenix-murpap-11-cm-x-20-meter/4210/9036209/" TargetMode="External"/><Relationship Id="rId11" Type="http://schemas.openxmlformats.org/officeDocument/2006/relationships/hyperlink" Target="https://www.jemogfix.dk/nkt-fasteners-gevindstang-m10-x-1000-mm/5116/9711834/" TargetMode="External"/><Relationship Id="rId5" Type="http://schemas.openxmlformats.org/officeDocument/2006/relationships/hyperlink" Target="https://www.jemogfix.dk/aalborg-portland-basis-aalborg-cement-25-kg/4170/9814769/" TargetMode="External"/><Relationship Id="rId15" Type="http://schemas.openxmlformats.org/officeDocument/2006/relationships/hyperlink" Target="https://www.jemogfix.dk/phoenix-murpap-15-cm-x-20-meter/4210/9060998/" TargetMode="External"/><Relationship Id="rId10" Type="http://schemas.openxmlformats.org/officeDocument/2006/relationships/hyperlink" Target="https://www.jemogfix.dk/reglar-47-x-100-x-2400-mm/4110/9057295/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jemogfix.dk/kamstaal-8-mm-x-3-meter/4164/9042660/" TargetMode="External"/><Relationship Id="rId9" Type="http://schemas.openxmlformats.org/officeDocument/2006/relationships/hyperlink" Target="https://www.jemogfix.dk/reglar-47-x-100-x-3600-mm/4110/9057297/" TargetMode="External"/><Relationship Id="rId14" Type="http://schemas.openxmlformats.org/officeDocument/2006/relationships/hyperlink" Target="https://www.jemogfix.dk/vindskede-sort-aluminium-75-x-20-x-80-x-1000-mm/4210/9058508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phoenix-murpap-15-cm-x-20-meter/4210/9060998/" TargetMode="External"/><Relationship Id="rId3" Type="http://schemas.openxmlformats.org/officeDocument/2006/relationships/hyperlink" Target="https://www.jemogfix.dk/reglar-47-x-100-x-3000-mm/4110/9057296/" TargetMode="External"/><Relationship Id="rId7" Type="http://schemas.openxmlformats.org/officeDocument/2006/relationships/hyperlink" Target="https://www.jemogfix.dk/tagfod-sort-aluminium-55-x-80-x-1000-mm/4210/9058507/" TargetMode="External"/><Relationship Id="rId2" Type="http://schemas.openxmlformats.org/officeDocument/2006/relationships/hyperlink" Target="https://www.jemogfix.dk/alusoem-2-6-x-25-mm-100-stk/4210/9038151/" TargetMode="External"/><Relationship Id="rId1" Type="http://schemas.openxmlformats.org/officeDocument/2006/relationships/hyperlink" Target="https://www.jemogfix.dk/vindskede-sort-aluminium-75-x-20-x-80-x-1000-mm/4210/9058508/" TargetMode="External"/><Relationship Id="rId6" Type="http://schemas.openxmlformats.org/officeDocument/2006/relationships/hyperlink" Target="https://www.jemogfix.dk/phoenix-klaebeasfalt-310-ml/4211/9014391/" TargetMode="External"/><Relationship Id="rId5" Type="http://schemas.openxmlformats.org/officeDocument/2006/relationships/hyperlink" Target="https://www.jemogfix.dk/phoenix-selvbyggerpap-1-x-5-meter/4210/9021085/" TargetMode="External"/><Relationship Id="rId4" Type="http://schemas.openxmlformats.org/officeDocument/2006/relationships/hyperlink" Target="https://www.jemogfix.dk/impraegneret-stern-mellem-21-x-120-x-3600-mm/4321/9057378/" TargetMode="External"/><Relationship Id="rId9" Type="http://schemas.openxmlformats.org/officeDocument/2006/relationships/hyperlink" Target="https://www.jemogfix.dk/osb-3-plade-tg4-18-mm-2397-x-600-mm/4138/905021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E8CE-734F-4C5C-A774-DE01A3B04B39}">
  <dimension ref="A1:M37"/>
  <sheetViews>
    <sheetView workbookViewId="0">
      <selection sqref="A1:XFD1048576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68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3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3" ht="20.25" thickBot="1" x14ac:dyDescent="0.35">
      <c r="A2" s="4" t="s">
        <v>7</v>
      </c>
      <c r="B2" s="2" t="s">
        <v>8</v>
      </c>
      <c r="C2" s="2">
        <v>1050</v>
      </c>
      <c r="D2" s="2" t="s">
        <v>13</v>
      </c>
      <c r="E2" s="6">
        <v>0.55000000000000004</v>
      </c>
      <c r="F2" s="6">
        <f>C2*E2</f>
        <v>577.5</v>
      </c>
      <c r="G2" s="5" t="s">
        <v>14</v>
      </c>
      <c r="H2" s="2" t="s">
        <v>12</v>
      </c>
      <c r="L2" s="7" t="s">
        <v>21</v>
      </c>
      <c r="M2"/>
    </row>
    <row r="3" spans="1:13" ht="15.75" thickTop="1" x14ac:dyDescent="0.25">
      <c r="A3" s="4" t="s">
        <v>7</v>
      </c>
      <c r="B3" s="2" t="s">
        <v>48</v>
      </c>
      <c r="C3" s="2">
        <v>120</v>
      </c>
      <c r="D3" s="2" t="s">
        <v>9</v>
      </c>
      <c r="E3" s="6">
        <v>15.75</v>
      </c>
      <c r="F3" s="6">
        <f>C3*E3</f>
        <v>1890</v>
      </c>
      <c r="G3" s="5" t="s">
        <v>16</v>
      </c>
      <c r="H3" s="2" t="s">
        <v>15</v>
      </c>
      <c r="L3" s="4" t="s">
        <v>7</v>
      </c>
      <c r="M3" s="6">
        <f>SUM(F2:F8)</f>
        <v>5445.35</v>
      </c>
    </row>
    <row r="4" spans="1:13" x14ac:dyDescent="0.25">
      <c r="A4" s="4" t="s">
        <v>7</v>
      </c>
      <c r="B4" s="2" t="s">
        <v>18</v>
      </c>
      <c r="C4" s="2">
        <v>13</v>
      </c>
      <c r="D4" s="2" t="s">
        <v>9</v>
      </c>
      <c r="E4" s="6">
        <v>29.75</v>
      </c>
      <c r="F4" s="6">
        <f>C4*E4</f>
        <v>386.75</v>
      </c>
      <c r="G4" s="5" t="s">
        <v>16</v>
      </c>
      <c r="H4" s="2" t="s">
        <v>19</v>
      </c>
      <c r="L4" s="8" t="s">
        <v>22</v>
      </c>
      <c r="M4" s="6">
        <f>SUM(F10:F14)</f>
        <v>2523</v>
      </c>
    </row>
    <row r="5" spans="1:13" x14ac:dyDescent="0.25">
      <c r="A5" s="4" t="s">
        <v>7</v>
      </c>
      <c r="B5" s="2" t="s">
        <v>10</v>
      </c>
      <c r="C5" s="2">
        <v>14</v>
      </c>
      <c r="D5" s="2" t="s">
        <v>9</v>
      </c>
      <c r="E5" s="6">
        <v>75</v>
      </c>
      <c r="F5" s="6">
        <f>C5*E5</f>
        <v>1050</v>
      </c>
      <c r="G5" s="5" t="s">
        <v>16</v>
      </c>
      <c r="H5" s="2" t="s">
        <v>20</v>
      </c>
      <c r="L5" s="9" t="s">
        <v>32</v>
      </c>
      <c r="M5" s="2"/>
    </row>
    <row r="6" spans="1:13" x14ac:dyDescent="0.25">
      <c r="A6" s="4" t="s">
        <v>7</v>
      </c>
      <c r="B6" s="2" t="s">
        <v>47</v>
      </c>
      <c r="C6" s="2">
        <v>1485</v>
      </c>
      <c r="D6" s="2" t="s">
        <v>13</v>
      </c>
      <c r="E6" s="6">
        <v>0.66</v>
      </c>
      <c r="F6" s="6">
        <f>C6*E6</f>
        <v>980.1</v>
      </c>
      <c r="G6" s="5" t="s">
        <v>14</v>
      </c>
      <c r="H6" s="2" t="s">
        <v>17</v>
      </c>
      <c r="L6" s="2"/>
      <c r="M6" s="2"/>
    </row>
    <row r="7" spans="1:13" x14ac:dyDescent="0.25">
      <c r="A7" s="12" t="s">
        <v>7</v>
      </c>
      <c r="B7" s="2" t="s">
        <v>53</v>
      </c>
      <c r="C7" s="2">
        <v>18</v>
      </c>
      <c r="D7" s="2" t="s">
        <v>9</v>
      </c>
      <c r="E7" s="6">
        <v>27.95</v>
      </c>
      <c r="F7" s="6">
        <f>C7*E7</f>
        <v>503.09999999999997</v>
      </c>
      <c r="G7" s="5" t="s">
        <v>16</v>
      </c>
      <c r="H7" s="2" t="s">
        <v>54</v>
      </c>
      <c r="L7" s="2"/>
      <c r="M7" s="2"/>
    </row>
    <row r="8" spans="1:13" x14ac:dyDescent="0.25">
      <c r="A8" s="12" t="s">
        <v>7</v>
      </c>
      <c r="B8" s="2" t="s">
        <v>55</v>
      </c>
      <c r="C8" s="2">
        <v>2</v>
      </c>
      <c r="D8" s="2" t="s">
        <v>56</v>
      </c>
      <c r="E8" s="6">
        <v>28.95</v>
      </c>
      <c r="F8" s="6">
        <f>C8*E8</f>
        <v>57.9</v>
      </c>
      <c r="G8" s="5" t="s">
        <v>16</v>
      </c>
      <c r="H8" s="2" t="s">
        <v>57</v>
      </c>
      <c r="L8" s="2"/>
      <c r="M8" s="2"/>
    </row>
    <row r="9" spans="1:13" x14ac:dyDescent="0.25">
      <c r="A9" s="2"/>
      <c r="B9" s="2"/>
      <c r="C9" s="2"/>
      <c r="D9" s="2"/>
      <c r="E9" s="2"/>
      <c r="F9" s="2"/>
      <c r="G9" s="2"/>
      <c r="H9" s="2"/>
      <c r="L9" s="2"/>
      <c r="M9" s="2"/>
    </row>
    <row r="10" spans="1:13" x14ac:dyDescent="0.25">
      <c r="A10" s="8" t="s">
        <v>22</v>
      </c>
      <c r="B10" s="2" t="s">
        <v>23</v>
      </c>
      <c r="C10" s="2">
        <v>1</v>
      </c>
      <c r="D10" s="2" t="s">
        <v>9</v>
      </c>
      <c r="E10" s="6">
        <v>99</v>
      </c>
      <c r="F10" s="6">
        <f>C10*E10</f>
        <v>99</v>
      </c>
      <c r="G10" s="5" t="s">
        <v>16</v>
      </c>
      <c r="H10" s="2" t="s">
        <v>24</v>
      </c>
      <c r="L10" s="2"/>
      <c r="M10" s="2"/>
    </row>
    <row r="11" spans="1:13" x14ac:dyDescent="0.25">
      <c r="A11" s="8" t="s">
        <v>22</v>
      </c>
      <c r="B11" s="2" t="s">
        <v>25</v>
      </c>
      <c r="C11" s="2">
        <v>2</v>
      </c>
      <c r="D11" s="2" t="s">
        <v>9</v>
      </c>
      <c r="E11" s="6">
        <v>71.099999999999994</v>
      </c>
      <c r="F11" s="6">
        <f>C11*E11</f>
        <v>142.19999999999999</v>
      </c>
      <c r="G11" s="5" t="s">
        <v>16</v>
      </c>
      <c r="H11" s="2" t="s">
        <v>28</v>
      </c>
      <c r="L11" s="2"/>
      <c r="M11" s="2"/>
    </row>
    <row r="12" spans="1:13" x14ac:dyDescent="0.25">
      <c r="A12" s="8" t="s">
        <v>22</v>
      </c>
      <c r="B12" s="2" t="s">
        <v>25</v>
      </c>
      <c r="C12" s="2">
        <v>5</v>
      </c>
      <c r="D12" s="2" t="s">
        <v>9</v>
      </c>
      <c r="E12" s="6">
        <v>47.4</v>
      </c>
      <c r="F12" s="6">
        <f>C12*E12</f>
        <v>237</v>
      </c>
      <c r="G12" s="5" t="s">
        <v>16</v>
      </c>
      <c r="H12" s="2" t="s">
        <v>29</v>
      </c>
      <c r="L12" s="2"/>
      <c r="M12" s="2"/>
    </row>
    <row r="13" spans="1:13" x14ac:dyDescent="0.25">
      <c r="A13" s="8" t="s">
        <v>22</v>
      </c>
      <c r="B13" s="2" t="s">
        <v>26</v>
      </c>
      <c r="C13" s="2">
        <v>4</v>
      </c>
      <c r="D13" s="2" t="s">
        <v>9</v>
      </c>
      <c r="E13" s="6">
        <v>63.9</v>
      </c>
      <c r="F13" s="6">
        <f>C13*E13</f>
        <v>255.6</v>
      </c>
      <c r="G13" s="5" t="s">
        <v>16</v>
      </c>
      <c r="H13" s="2" t="s">
        <v>30</v>
      </c>
      <c r="L13" s="2"/>
      <c r="M13" s="2"/>
    </row>
    <row r="14" spans="1:13" x14ac:dyDescent="0.25">
      <c r="A14" s="8" t="s">
        <v>22</v>
      </c>
      <c r="B14" s="2" t="s">
        <v>27</v>
      </c>
      <c r="C14" s="2">
        <v>42</v>
      </c>
      <c r="D14" s="2" t="s">
        <v>9</v>
      </c>
      <c r="E14" s="6">
        <v>42.6</v>
      </c>
      <c r="F14" s="6">
        <f>C14*E14</f>
        <v>1789.2</v>
      </c>
      <c r="G14" s="5" t="s">
        <v>16</v>
      </c>
      <c r="H14" s="2" t="s">
        <v>31</v>
      </c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L16" s="2"/>
      <c r="M16" s="2"/>
    </row>
    <row r="17" spans="1:13" x14ac:dyDescent="0.25">
      <c r="A17" s="9" t="s">
        <v>32</v>
      </c>
      <c r="B17" s="14" t="s">
        <v>65</v>
      </c>
      <c r="C17" s="2"/>
      <c r="D17" s="2"/>
      <c r="E17" s="6"/>
      <c r="F17" s="6"/>
      <c r="G17" s="5"/>
      <c r="H17" s="2"/>
      <c r="L17" s="2"/>
      <c r="M17" s="2"/>
    </row>
    <row r="18" spans="1:13" x14ac:dyDescent="0.25">
      <c r="A18" s="9" t="s">
        <v>32</v>
      </c>
      <c r="B18" s="2" t="s">
        <v>33</v>
      </c>
      <c r="C18" s="2">
        <v>13</v>
      </c>
      <c r="D18" s="2" t="s">
        <v>9</v>
      </c>
      <c r="E18" s="6">
        <v>53.25</v>
      </c>
      <c r="F18" s="6">
        <f>C18*E18</f>
        <v>692.25</v>
      </c>
      <c r="G18" s="5" t="s">
        <v>16</v>
      </c>
      <c r="H18" s="2" t="s">
        <v>43</v>
      </c>
      <c r="L18" s="2"/>
      <c r="M18" s="2"/>
    </row>
    <row r="19" spans="1:13" x14ac:dyDescent="0.25">
      <c r="A19" s="9" t="s">
        <v>32</v>
      </c>
      <c r="B19" s="2" t="s">
        <v>36</v>
      </c>
      <c r="C19" s="2">
        <v>7</v>
      </c>
      <c r="D19" s="2" t="s">
        <v>9</v>
      </c>
      <c r="E19" s="6"/>
      <c r="F19" s="6"/>
      <c r="G19" s="2"/>
      <c r="H19" s="2" t="s">
        <v>44</v>
      </c>
      <c r="L19" s="11"/>
      <c r="M19" s="11"/>
    </row>
    <row r="20" spans="1:13" x14ac:dyDescent="0.25">
      <c r="A20" s="9" t="s">
        <v>32</v>
      </c>
      <c r="B20" s="2" t="s">
        <v>46</v>
      </c>
      <c r="C20" s="2">
        <v>6</v>
      </c>
      <c r="D20" s="2" t="s">
        <v>9</v>
      </c>
      <c r="E20" s="6">
        <v>92.7</v>
      </c>
      <c r="F20" s="6">
        <f>C20*E20</f>
        <v>556.20000000000005</v>
      </c>
      <c r="G20" s="5" t="s">
        <v>16</v>
      </c>
      <c r="H20" s="2" t="s">
        <v>66</v>
      </c>
    </row>
    <row r="21" spans="1:13" x14ac:dyDescent="0.25">
      <c r="A21"/>
      <c r="B21" s="2"/>
      <c r="C21" s="2"/>
      <c r="D21" s="2"/>
      <c r="E21" s="6"/>
      <c r="F21" s="6"/>
      <c r="G21" s="2"/>
      <c r="H21" s="2"/>
      <c r="L21" s="11"/>
      <c r="M21" s="11"/>
    </row>
    <row r="22" spans="1:13" x14ac:dyDescent="0.25">
      <c r="A22" s="9" t="s">
        <v>32</v>
      </c>
      <c r="B22" s="14" t="s">
        <v>67</v>
      </c>
      <c r="C22" s="2"/>
      <c r="D22" s="2"/>
      <c r="E22" s="6"/>
      <c r="F22" s="6"/>
      <c r="G22" s="2"/>
      <c r="H22" s="2"/>
      <c r="L22" s="11"/>
      <c r="M22" s="11"/>
    </row>
    <row r="23" spans="1:13" x14ac:dyDescent="0.25">
      <c r="A23" s="9" t="s">
        <v>32</v>
      </c>
      <c r="B23" s="2" t="s">
        <v>35</v>
      </c>
      <c r="C23" s="2">
        <v>5</v>
      </c>
      <c r="D23" s="2" t="s">
        <v>9</v>
      </c>
      <c r="E23" s="6"/>
      <c r="F23" s="6"/>
      <c r="G23" s="2"/>
      <c r="H23" s="2" t="s">
        <v>68</v>
      </c>
    </row>
    <row r="24" spans="1:13" x14ac:dyDescent="0.25">
      <c r="A24" s="9" t="s">
        <v>32</v>
      </c>
      <c r="B24" s="2" t="s">
        <v>58</v>
      </c>
      <c r="C24" s="2">
        <v>7</v>
      </c>
      <c r="D24" s="2" t="s">
        <v>9</v>
      </c>
      <c r="E24" s="6">
        <v>39.75</v>
      </c>
      <c r="F24" s="6">
        <f>C24*E24</f>
        <v>278.25</v>
      </c>
      <c r="G24" s="5" t="s">
        <v>16</v>
      </c>
      <c r="H24" s="2" t="s">
        <v>60</v>
      </c>
    </row>
    <row r="25" spans="1:13" x14ac:dyDescent="0.25">
      <c r="A25" s="9" t="s">
        <v>32</v>
      </c>
      <c r="B25" s="2" t="s">
        <v>62</v>
      </c>
      <c r="C25" s="2">
        <v>1</v>
      </c>
      <c r="D25" s="2" t="s">
        <v>9</v>
      </c>
      <c r="E25" s="6">
        <v>149</v>
      </c>
      <c r="F25" s="6">
        <f>C25*E25</f>
        <v>149</v>
      </c>
      <c r="G25" s="5" t="s">
        <v>16</v>
      </c>
      <c r="H25" s="2" t="s">
        <v>63</v>
      </c>
    </row>
    <row r="26" spans="1:13" x14ac:dyDescent="0.25">
      <c r="A26" s="9" t="s">
        <v>32</v>
      </c>
      <c r="B26" s="2" t="s">
        <v>59</v>
      </c>
      <c r="C26" s="2">
        <v>13</v>
      </c>
      <c r="D26" s="2" t="s">
        <v>9</v>
      </c>
      <c r="E26" s="6">
        <v>42.75</v>
      </c>
      <c r="F26" s="6">
        <f>C26*E26</f>
        <v>555.75</v>
      </c>
      <c r="G26" s="5" t="s">
        <v>16</v>
      </c>
      <c r="H26" s="2" t="s">
        <v>61</v>
      </c>
    </row>
    <row r="27" spans="1:13" x14ac:dyDescent="0.25">
      <c r="A27" s="9" t="s">
        <v>32</v>
      </c>
      <c r="B27" s="2" t="s">
        <v>34</v>
      </c>
      <c r="C27" s="2">
        <v>6.5</v>
      </c>
      <c r="D27" s="2" t="s">
        <v>45</v>
      </c>
      <c r="E27" s="6"/>
      <c r="F27" s="6"/>
      <c r="G27" s="2"/>
      <c r="H27" s="2" t="s">
        <v>49</v>
      </c>
    </row>
    <row r="28" spans="1:13" x14ac:dyDescent="0.25">
      <c r="A28" s="9" t="s">
        <v>32</v>
      </c>
      <c r="B28" s="2" t="s">
        <v>50</v>
      </c>
      <c r="C28" s="2">
        <v>48</v>
      </c>
      <c r="D28" s="2" t="s">
        <v>9</v>
      </c>
      <c r="E28" s="6"/>
      <c r="F28" s="6"/>
      <c r="G28" s="2"/>
      <c r="H28" s="2" t="s">
        <v>52</v>
      </c>
    </row>
    <row r="29" spans="1:13" x14ac:dyDescent="0.25">
      <c r="A29" s="9" t="s">
        <v>32</v>
      </c>
      <c r="B29" s="2" t="s">
        <v>51</v>
      </c>
      <c r="C29" s="2">
        <v>1</v>
      </c>
      <c r="D29" s="2" t="s">
        <v>56</v>
      </c>
      <c r="E29" s="6">
        <v>69.95</v>
      </c>
      <c r="F29" s="6">
        <f>C29*E29</f>
        <v>69.95</v>
      </c>
      <c r="G29" s="5" t="s">
        <v>16</v>
      </c>
      <c r="H29" s="2" t="s">
        <v>64</v>
      </c>
    </row>
    <row r="30" spans="1:13" x14ac:dyDescent="0.25">
      <c r="A30" s="2"/>
      <c r="B30" s="2"/>
      <c r="C30" s="2"/>
      <c r="D30" s="2"/>
      <c r="E30" s="2"/>
      <c r="F30" s="2"/>
      <c r="G30" s="2"/>
      <c r="H30" s="2"/>
    </row>
    <row r="31" spans="1:13" x14ac:dyDescent="0.25">
      <c r="A31" s="2"/>
      <c r="B31" s="2"/>
      <c r="C31" s="2"/>
      <c r="D31" s="2"/>
      <c r="E31" s="2"/>
      <c r="F31" s="2"/>
      <c r="G31" s="2"/>
      <c r="H31" s="2"/>
    </row>
    <row r="32" spans="1:13" x14ac:dyDescent="0.25">
      <c r="A32" s="2"/>
      <c r="B32" s="2"/>
      <c r="C32" s="2"/>
      <c r="D32" s="2"/>
      <c r="E32" s="2"/>
      <c r="F32" s="2"/>
      <c r="G32" s="2"/>
      <c r="H32" s="2"/>
    </row>
    <row r="33" spans="1:8" x14ac:dyDescent="0.25">
      <c r="A33" s="10" t="s">
        <v>37</v>
      </c>
      <c r="B33" s="2" t="s">
        <v>38</v>
      </c>
      <c r="C33" s="2"/>
      <c r="D33" s="2"/>
      <c r="E33" s="6"/>
      <c r="F33" s="6"/>
      <c r="G33" s="2"/>
      <c r="H33" s="2"/>
    </row>
    <row r="34" spans="1:8" x14ac:dyDescent="0.25">
      <c r="A34" s="10" t="s">
        <v>37</v>
      </c>
      <c r="B34" s="2" t="s">
        <v>39</v>
      </c>
      <c r="C34" s="2"/>
      <c r="D34" s="2"/>
      <c r="E34" s="6"/>
      <c r="F34" s="6"/>
      <c r="G34" s="2"/>
      <c r="H34" s="2"/>
    </row>
    <row r="35" spans="1:8" x14ac:dyDescent="0.25">
      <c r="A35" s="10" t="s">
        <v>37</v>
      </c>
      <c r="B35" s="2" t="s">
        <v>40</v>
      </c>
      <c r="C35" s="2"/>
      <c r="D35" s="2"/>
      <c r="E35" s="6"/>
      <c r="F35" s="6"/>
      <c r="G35" s="2"/>
      <c r="H35" s="2"/>
    </row>
    <row r="36" spans="1:8" x14ac:dyDescent="0.25">
      <c r="A36" s="10" t="s">
        <v>37</v>
      </c>
      <c r="B36" s="3" t="s">
        <v>41</v>
      </c>
      <c r="E36" s="13"/>
      <c r="F36" s="13"/>
    </row>
    <row r="37" spans="1:8" x14ac:dyDescent="0.25">
      <c r="A37" s="10" t="s">
        <v>37</v>
      </c>
      <c r="B37" s="3" t="s">
        <v>42</v>
      </c>
    </row>
  </sheetData>
  <hyperlinks>
    <hyperlink ref="G2" r:id="rId1" xr:uid="{F4F18C84-7C2A-48FB-8004-317535792BC3}"/>
    <hyperlink ref="G3" r:id="rId2" xr:uid="{ADFA0A0F-4714-409E-8183-2D1DC6F6AF6F}"/>
    <hyperlink ref="G6" r:id="rId3" xr:uid="{ABFF7B92-54B5-4DD1-902D-CD3F20ADE0CF}"/>
    <hyperlink ref="G4" r:id="rId4" xr:uid="{8CCAF7E5-106F-47B8-9280-E8F7218A5778}"/>
    <hyperlink ref="G5" r:id="rId5" xr:uid="{B1653E0F-ACED-4CCF-A400-CFAAC3AE7DBB}"/>
    <hyperlink ref="G10" r:id="rId6" xr:uid="{FAC46CC1-954E-4401-8371-771034A3763E}"/>
    <hyperlink ref="G11" r:id="rId7" xr:uid="{C3AD733A-BB1C-4DD8-9997-7E1264E27325}"/>
    <hyperlink ref="G12" r:id="rId8" xr:uid="{822C708A-89BB-4C41-85A2-7F46AE9C3AA4}"/>
    <hyperlink ref="G13" r:id="rId9" xr:uid="{AB4A796C-54C2-42B8-BEA7-318533409B7B}"/>
    <hyperlink ref="G14" r:id="rId10" xr:uid="{655A2597-DBF9-463B-8049-641996B3C27E}"/>
    <hyperlink ref="G7" r:id="rId11" xr:uid="{FD55BB59-34E1-441E-8248-D0E1715D035D}"/>
    <hyperlink ref="G8" r:id="rId12" xr:uid="{BD300C6F-9638-4146-BB8B-372C01FFC096}"/>
    <hyperlink ref="G24" r:id="rId13" xr:uid="{E21D12DD-F505-4866-BB7C-6A9951005D0A}"/>
    <hyperlink ref="G26" r:id="rId14" xr:uid="{814FA9A0-8484-4BA4-B9BC-F75552780775}"/>
    <hyperlink ref="G25" r:id="rId15" xr:uid="{1108F905-647A-4724-8D26-8FC9DC9A6CDC}"/>
    <hyperlink ref="G29" r:id="rId16" xr:uid="{F3D1896A-0A8E-4431-804E-4BFE3A5D1E0F}"/>
    <hyperlink ref="G18" r:id="rId17" xr:uid="{667E39DA-69FB-4FDB-AE56-9199355A0E59}"/>
    <hyperlink ref="G20" r:id="rId18" xr:uid="{D995632A-8B73-4B02-BC8C-B33176F50528}"/>
  </hyperlinks>
  <pageMargins left="0.7" right="0.7" top="0.75" bottom="0.75" header="0.3" footer="0.3"/>
  <pageSetup paperSize="9" orientation="portrait" r:id="rId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1006-3169-40A0-B66F-4490656895FA}">
  <dimension ref="A1:M28"/>
  <sheetViews>
    <sheetView tabSelected="1" workbookViewId="0">
      <selection activeCell="F6" sqref="F6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68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3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3" x14ac:dyDescent="0.25">
      <c r="A2" s="2"/>
      <c r="B2" s="2"/>
      <c r="C2" s="2"/>
      <c r="D2" s="2"/>
      <c r="E2" s="2"/>
      <c r="F2" s="2"/>
      <c r="G2" s="2"/>
      <c r="H2" s="2"/>
      <c r="L2" s="2"/>
      <c r="M2" s="2"/>
    </row>
    <row r="3" spans="1:13" x14ac:dyDescent="0.25">
      <c r="A3" s="2"/>
      <c r="B3" s="2"/>
      <c r="C3" s="2"/>
      <c r="D3" s="2"/>
      <c r="E3" s="2"/>
      <c r="F3" s="2"/>
      <c r="G3" s="2"/>
      <c r="H3" s="2"/>
      <c r="L3" s="2"/>
      <c r="M3" s="2"/>
    </row>
    <row r="4" spans="1:13" x14ac:dyDescent="0.25">
      <c r="A4" s="9" t="s">
        <v>32</v>
      </c>
      <c r="B4" s="14" t="s">
        <v>65</v>
      </c>
      <c r="C4" s="2"/>
      <c r="D4" s="2"/>
      <c r="E4" s="6"/>
      <c r="F4" s="6"/>
      <c r="G4" s="5"/>
      <c r="H4" s="2"/>
      <c r="L4" s="2"/>
      <c r="M4" s="2"/>
    </row>
    <row r="5" spans="1:13" x14ac:dyDescent="0.25">
      <c r="A5" s="9" t="s">
        <v>32</v>
      </c>
      <c r="B5" s="2" t="s">
        <v>33</v>
      </c>
      <c r="C5" s="2">
        <v>13</v>
      </c>
      <c r="D5" s="2" t="s">
        <v>9</v>
      </c>
      <c r="E5" s="6">
        <v>53.25</v>
      </c>
      <c r="F5" s="6">
        <f>C5*E5</f>
        <v>692.25</v>
      </c>
      <c r="G5" s="5" t="s">
        <v>16</v>
      </c>
      <c r="H5" s="2" t="s">
        <v>74</v>
      </c>
      <c r="L5" s="2"/>
      <c r="M5" s="2"/>
    </row>
    <row r="6" spans="1:13" x14ac:dyDescent="0.25">
      <c r="A6" s="9" t="s">
        <v>32</v>
      </c>
      <c r="B6" s="2" t="s">
        <v>36</v>
      </c>
      <c r="C6" s="2">
        <v>15</v>
      </c>
      <c r="D6" s="2" t="s">
        <v>9</v>
      </c>
      <c r="E6" s="6">
        <v>129</v>
      </c>
      <c r="F6" s="6">
        <f>C6*E6</f>
        <v>1935</v>
      </c>
      <c r="G6" s="5" t="s">
        <v>16</v>
      </c>
      <c r="H6" s="2" t="s">
        <v>75</v>
      </c>
      <c r="L6" s="11"/>
      <c r="M6" s="11"/>
    </row>
    <row r="7" spans="1:13" x14ac:dyDescent="0.25">
      <c r="A7" s="9" t="s">
        <v>32</v>
      </c>
      <c r="B7" s="2" t="s">
        <v>46</v>
      </c>
      <c r="C7" s="2">
        <v>6</v>
      </c>
      <c r="D7" s="2" t="s">
        <v>9</v>
      </c>
      <c r="E7" s="6">
        <v>92.7</v>
      </c>
      <c r="F7" s="6">
        <f>C7*E7</f>
        <v>556.20000000000005</v>
      </c>
      <c r="G7" s="5" t="s">
        <v>16</v>
      </c>
      <c r="H7" s="2" t="s">
        <v>66</v>
      </c>
    </row>
    <row r="8" spans="1:13" x14ac:dyDescent="0.25">
      <c r="A8"/>
      <c r="B8" s="2"/>
      <c r="C8" s="2"/>
      <c r="D8" s="2"/>
      <c r="E8" s="6"/>
      <c r="F8" s="6"/>
      <c r="G8" s="2"/>
      <c r="H8" s="2"/>
      <c r="L8" s="11"/>
      <c r="M8" s="11"/>
    </row>
    <row r="9" spans="1:13" x14ac:dyDescent="0.25">
      <c r="A9" s="9" t="s">
        <v>32</v>
      </c>
      <c r="B9" s="14" t="s">
        <v>67</v>
      </c>
      <c r="C9" s="2"/>
      <c r="D9" s="2"/>
      <c r="E9" s="6"/>
      <c r="F9" s="6"/>
      <c r="G9" s="2"/>
      <c r="H9" s="2"/>
      <c r="L9" s="11"/>
      <c r="M9" s="11"/>
    </row>
    <row r="10" spans="1:13" x14ac:dyDescent="0.25">
      <c r="A10" s="9" t="s">
        <v>32</v>
      </c>
      <c r="B10" s="2" t="s">
        <v>35</v>
      </c>
      <c r="C10" s="2">
        <v>5</v>
      </c>
      <c r="D10" s="2" t="s">
        <v>9</v>
      </c>
      <c r="E10" s="6">
        <v>579</v>
      </c>
      <c r="F10" s="6">
        <f>C10*E10</f>
        <v>2895</v>
      </c>
      <c r="G10" s="5" t="s">
        <v>16</v>
      </c>
      <c r="H10" s="2" t="s">
        <v>68</v>
      </c>
    </row>
    <row r="11" spans="1:13" x14ac:dyDescent="0.25">
      <c r="A11" s="9" t="s">
        <v>32</v>
      </c>
      <c r="B11" s="2" t="s">
        <v>69</v>
      </c>
      <c r="C11" s="2">
        <v>3</v>
      </c>
      <c r="D11" s="2" t="s">
        <v>9</v>
      </c>
      <c r="E11" s="6">
        <v>69.95</v>
      </c>
      <c r="F11" s="6">
        <f>C11*E11</f>
        <v>209.85000000000002</v>
      </c>
      <c r="G11" s="5" t="s">
        <v>16</v>
      </c>
      <c r="H11" s="2" t="s">
        <v>70</v>
      </c>
    </row>
    <row r="12" spans="1:13" x14ac:dyDescent="0.25">
      <c r="A12" s="9" t="s">
        <v>32</v>
      </c>
      <c r="B12" s="2" t="s">
        <v>62</v>
      </c>
      <c r="C12" s="2">
        <v>1</v>
      </c>
      <c r="D12" s="2" t="s">
        <v>9</v>
      </c>
      <c r="E12" s="6">
        <v>149</v>
      </c>
      <c r="F12" s="6">
        <f>C12*E12</f>
        <v>149</v>
      </c>
      <c r="G12" s="5" t="s">
        <v>16</v>
      </c>
      <c r="H12" s="2" t="s">
        <v>63</v>
      </c>
    </row>
    <row r="13" spans="1:13" x14ac:dyDescent="0.25">
      <c r="A13"/>
      <c r="B13" s="2"/>
      <c r="C13" s="2"/>
      <c r="D13" s="2"/>
      <c r="E13" s="6"/>
      <c r="F13" s="6"/>
      <c r="G13" s="5"/>
      <c r="H13" s="2"/>
    </row>
    <row r="14" spans="1:13" x14ac:dyDescent="0.25">
      <c r="A14" s="9" t="s">
        <v>32</v>
      </c>
      <c r="B14" s="14" t="s">
        <v>71</v>
      </c>
      <c r="C14" s="2"/>
      <c r="D14" s="2"/>
      <c r="E14" s="6"/>
      <c r="F14" s="6"/>
      <c r="G14" s="5"/>
      <c r="H14" s="2"/>
    </row>
    <row r="15" spans="1:13" x14ac:dyDescent="0.25">
      <c r="A15" s="9" t="s">
        <v>32</v>
      </c>
      <c r="B15" s="2" t="s">
        <v>58</v>
      </c>
      <c r="C15" s="2">
        <v>7</v>
      </c>
      <c r="D15" s="2" t="s">
        <v>9</v>
      </c>
      <c r="E15" s="6">
        <v>39.75</v>
      </c>
      <c r="F15" s="6">
        <f>C15*E15</f>
        <v>278.25</v>
      </c>
      <c r="G15" s="5" t="s">
        <v>16</v>
      </c>
      <c r="H15" s="2" t="s">
        <v>60</v>
      </c>
    </row>
    <row r="16" spans="1:13" x14ac:dyDescent="0.25">
      <c r="A16" s="9" t="s">
        <v>32</v>
      </c>
      <c r="B16" s="2" t="s">
        <v>59</v>
      </c>
      <c r="C16" s="2">
        <v>13</v>
      </c>
      <c r="D16" s="2" t="s">
        <v>9</v>
      </c>
      <c r="E16" s="6">
        <v>42.75</v>
      </c>
      <c r="F16" s="6">
        <f>C16*E16</f>
        <v>555.75</v>
      </c>
      <c r="G16" s="5" t="s">
        <v>16</v>
      </c>
      <c r="H16" s="2" t="s">
        <v>61</v>
      </c>
    </row>
    <row r="17" spans="1:8" x14ac:dyDescent="0.25">
      <c r="A17"/>
      <c r="B17" s="2"/>
      <c r="C17" s="2"/>
      <c r="D17" s="2"/>
      <c r="E17" s="6"/>
      <c r="F17" s="6"/>
      <c r="G17" s="5"/>
      <c r="H17" s="2"/>
    </row>
    <row r="18" spans="1:8" x14ac:dyDescent="0.25">
      <c r="A18" s="9" t="s">
        <v>32</v>
      </c>
      <c r="B18" s="14" t="s">
        <v>72</v>
      </c>
      <c r="C18" s="2"/>
      <c r="D18" s="2"/>
      <c r="E18" s="6"/>
      <c r="F18" s="6"/>
      <c r="G18" s="5"/>
      <c r="H18" s="2"/>
    </row>
    <row r="19" spans="1:8" x14ac:dyDescent="0.25">
      <c r="A19" s="9" t="s">
        <v>32</v>
      </c>
      <c r="B19" s="2" t="s">
        <v>34</v>
      </c>
      <c r="C19" s="2">
        <v>6.5</v>
      </c>
      <c r="D19" s="2" t="s">
        <v>45</v>
      </c>
      <c r="E19" s="6"/>
      <c r="F19" s="6"/>
      <c r="G19" s="2"/>
      <c r="H19" s="2" t="s">
        <v>73</v>
      </c>
    </row>
    <row r="20" spans="1:8" x14ac:dyDescent="0.25">
      <c r="A20" s="9" t="s">
        <v>32</v>
      </c>
      <c r="B20" s="2" t="s">
        <v>51</v>
      </c>
      <c r="C20" s="2">
        <v>1</v>
      </c>
      <c r="D20" s="2" t="s">
        <v>56</v>
      </c>
      <c r="E20" s="6">
        <v>69.95</v>
      </c>
      <c r="F20" s="6">
        <f>C20*E20</f>
        <v>69.95</v>
      </c>
      <c r="G20" s="5" t="s">
        <v>16</v>
      </c>
      <c r="H20" s="2" t="s">
        <v>64</v>
      </c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8" spans="1:8" x14ac:dyDescent="0.25">
      <c r="A28" s="9" t="s">
        <v>32</v>
      </c>
      <c r="B28" s="2" t="s">
        <v>50</v>
      </c>
      <c r="C28" s="2">
        <v>48</v>
      </c>
      <c r="D28" s="2" t="s">
        <v>9</v>
      </c>
      <c r="E28" s="6"/>
      <c r="F28" s="6"/>
      <c r="G28" s="2"/>
      <c r="H28" s="2" t="s">
        <v>52</v>
      </c>
    </row>
  </sheetData>
  <hyperlinks>
    <hyperlink ref="G16" r:id="rId1" xr:uid="{DCF914A9-39ED-487F-9A1A-C7568C7045D0}"/>
    <hyperlink ref="G20" r:id="rId2" xr:uid="{3F18322E-CE0D-43AB-B231-92958E9070D0}"/>
    <hyperlink ref="G5" r:id="rId3" xr:uid="{39831712-2ECB-4199-B56F-E4840BACF375}"/>
    <hyperlink ref="G7" r:id="rId4" xr:uid="{39F52C62-2C65-4769-ABCB-A5176588F8B5}"/>
    <hyperlink ref="G10" r:id="rId5" xr:uid="{B7063941-72D2-4AFC-B2C5-36EDBB67635E}"/>
    <hyperlink ref="G11" r:id="rId6" xr:uid="{F1AA7713-8D33-45BD-AD42-645F4CAC3A5B}"/>
    <hyperlink ref="G15" r:id="rId7" xr:uid="{CD9130B6-3E34-4D80-882D-0B5C95174CB6}"/>
    <hyperlink ref="G12" r:id="rId8" xr:uid="{8AA49080-3CA7-4021-BA9A-A13183FEE9D8}"/>
    <hyperlink ref="G6" r:id="rId9" xr:uid="{A59266F8-9FD2-46DC-A80A-B093D8DF714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3414DE94637BA41B16756DFE4B8D2B8" ma:contentTypeVersion="16" ma:contentTypeDescription="Opret et nyt dokument." ma:contentTypeScope="" ma:versionID="49fd2ca43565d8a844063a34d6114918">
  <xsd:schema xmlns:xsd="http://www.w3.org/2001/XMLSchema" xmlns:xs="http://www.w3.org/2001/XMLSchema" xmlns:p="http://schemas.microsoft.com/office/2006/metadata/properties" xmlns:ns3="38ca45d6-8f85-4c3a-993a-743aa40b1336" xmlns:ns4="b3a9d7bc-3d6e-49e0-996a-e43c1f0bf7ab" targetNamespace="http://schemas.microsoft.com/office/2006/metadata/properties" ma:root="true" ma:fieldsID="1ff96052aa9fc0ac141bf2e3bdbf6a21" ns3:_="" ns4:_="">
    <xsd:import namespace="38ca45d6-8f85-4c3a-993a-743aa40b1336"/>
    <xsd:import namespace="b3a9d7bc-3d6e-49e0-996a-e43c1f0bf7a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ca45d6-8f85-4c3a-993a-743aa40b13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d7bc-3d6e-49e0-996a-e43c1f0bf7ab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8ca45d6-8f85-4c3a-993a-743aa40b133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28F24E-EFE3-4726-B043-086F7EA510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ca45d6-8f85-4c3a-993a-743aa40b1336"/>
    <ds:schemaRef ds:uri="b3a9d7bc-3d6e-49e0-996a-e43c1f0bf7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23FC16-0305-4970-AE77-B1379828493F}">
  <ds:schemaRefs>
    <ds:schemaRef ds:uri="http://www.w3.org/XML/1998/namespace"/>
    <ds:schemaRef ds:uri="b3a9d7bc-3d6e-49e0-996a-e43c1f0bf7ab"/>
    <ds:schemaRef ds:uri="38ca45d6-8f85-4c3a-993a-743aa40b13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551DD82-85F6-480E-8CF8-03738D4C40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materialeliste</vt:lpstr>
      <vt:lpstr>tagkonstruktion_tagpap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2026-05-10T19:20:06Z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