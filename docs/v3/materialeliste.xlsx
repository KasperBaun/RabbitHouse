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ivat\rabbit-house\docs\v3\"/>
    </mc:Choice>
  </mc:AlternateContent>
  <xr:revisionPtr revIDLastSave="0" documentId="13_ncr:1_{4EE7020B-86F7-4424-AA12-C41146183872}" xr6:coauthVersionLast="47" xr6:coauthVersionMax="47" xr10:uidLastSave="{00000000-0000-0000-0000-000000000000}"/>
  <bookViews>
    <workbookView xWindow="7230" yWindow="1185" windowWidth="34095" windowHeight="18300" xr2:uid="{5334E723-DA25-4B94-9819-AB5A8FEA0E43}"/>
  </bookViews>
  <sheets>
    <sheet name="materialeli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5" i="1"/>
  <c r="F4" i="1"/>
  <c r="F6" i="1"/>
  <c r="F3" i="1"/>
  <c r="M3" i="1" s="1"/>
  <c r="F2" i="1"/>
</calcChain>
</file>

<file path=xl/sharedStrings.xml><?xml version="1.0" encoding="utf-8"?>
<sst xmlns="http://schemas.openxmlformats.org/spreadsheetml/2006/main" count="45" uniqueCount="29">
  <si>
    <t>Kategori</t>
  </si>
  <si>
    <t>Vare</t>
  </si>
  <si>
    <t>Antal</t>
  </si>
  <si>
    <t>Enhed</t>
  </si>
  <si>
    <t>Pris pr. enhed (DKK)</t>
  </si>
  <si>
    <t>I alt (DKK)</t>
  </si>
  <si>
    <t>Noter</t>
  </si>
  <si>
    <t>Fundament</t>
  </si>
  <si>
    <t>Stabilgrus 0-32 mm</t>
  </si>
  <si>
    <t>stk</t>
  </si>
  <si>
    <t>Fundablok 50x20x15cm</t>
  </si>
  <si>
    <t>Cement 25 kg</t>
  </si>
  <si>
    <t>Støbemix 0-16mm</t>
  </si>
  <si>
    <t>Leverandør</t>
  </si>
  <si>
    <t>ca. 0,6 m³, 1.750 kg. pr. m³, (0,55 kr. pr. kg.)</t>
  </si>
  <si>
    <t>kg</t>
  </si>
  <si>
    <t>materialepladsen.dk</t>
  </si>
  <si>
    <t>Behov for 117 stk. Køber 120 så der er lidt til over til behov. Vi har 82 stk. nu.</t>
  </si>
  <si>
    <t>jemogfix.dk</t>
  </si>
  <si>
    <t>ca. 0,9 m³, 1.650 kg. pr. m³, (0,66 kr. pr. kg.)</t>
  </si>
  <si>
    <t>Armeringsjern</t>
  </si>
  <si>
    <t>Ø-8 mm 3 meter længde</t>
  </si>
  <si>
    <t>1:4 blandingsforhold. 25kg ~ 18 L</t>
  </si>
  <si>
    <t>Prisoverslag</t>
  </si>
  <si>
    <t>Konstruktion</t>
  </si>
  <si>
    <t>Murpap</t>
  </si>
  <si>
    <t xml:space="preserve">11 cm * 20 meter </t>
  </si>
  <si>
    <t>Bundrem</t>
  </si>
  <si>
    <t>Toprem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</si>
</sst>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kr.-406]_-;\-* #,##0.00\ [$kr.-406]_-;_-* &quot;-&quot;??\ [$kr.-406]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4" fillId="6" borderId="10" xfId="3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10" borderId="10" xfId="19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" xfId="2"/>
    <xf numFmtId="0" fontId="1" fillId="14" borderId="10" xfId="23" applyBorder="1" applyAlignment="1">
      <alignment horizontal="center" vertical="center"/>
    </xf>
  </cellXfs>
  <cellStyles count="43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Link" xfId="42" builtinId="8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terialepladsen.dk/produkter/grus/Stoebemix0-16mm" TargetMode="External"/><Relationship Id="rId2" Type="http://schemas.openxmlformats.org/officeDocument/2006/relationships/hyperlink" Target="https://www.jemogfix.dk/fundablok-graa-15-x-20-x-50-cm/4176/9033558/" TargetMode="External"/><Relationship Id="rId1" Type="http://schemas.openxmlformats.org/officeDocument/2006/relationships/hyperlink" Target="https://materialepladsen.dk/produkter/grus/Stabilgrus0-32mm" TargetMode="External"/><Relationship Id="rId6" Type="http://schemas.openxmlformats.org/officeDocument/2006/relationships/hyperlink" Target="https://www.jemogfix.dk/phoenix-murpap-11-cm-x-20-meter/4210/9036209/" TargetMode="External"/><Relationship Id="rId5" Type="http://schemas.openxmlformats.org/officeDocument/2006/relationships/hyperlink" Target="https://www.jemogfix.dk/aalborg-portland-basis-aalborg-cement-25-kg/4170/9814769/" TargetMode="External"/><Relationship Id="rId4" Type="http://schemas.openxmlformats.org/officeDocument/2006/relationships/hyperlink" Target="https://www.jemogfix.dk/kamstaal-8-mm-x-3-meter/4164/90426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E8CE-734F-4C5C-A774-DE01A3B04B39}">
  <dimension ref="A1:M13"/>
  <sheetViews>
    <sheetView tabSelected="1" workbookViewId="0">
      <selection activeCell="A2" sqref="A2:XFD6"/>
    </sheetView>
  </sheetViews>
  <sheetFormatPr defaultRowHeight="15" x14ac:dyDescent="0.25"/>
  <cols>
    <col min="1" max="1" width="13.28515625" style="3" customWidth="1"/>
    <col min="2" max="2" width="35.5703125" style="3" bestFit="1" customWidth="1"/>
    <col min="3" max="3" width="6.42578125" style="3" bestFit="1" customWidth="1"/>
    <col min="4" max="4" width="7.7109375" style="3" bestFit="1" customWidth="1"/>
    <col min="5" max="5" width="22" style="3" bestFit="1" customWidth="1"/>
    <col min="6" max="6" width="12.28515625" style="3" bestFit="1" customWidth="1"/>
    <col min="7" max="7" width="19.5703125" style="3" bestFit="1" customWidth="1"/>
    <col min="8" max="8" width="68" style="3" bestFit="1" customWidth="1"/>
    <col min="9" max="11" width="9.140625" style="3"/>
    <col min="12" max="12" width="17" style="3" customWidth="1"/>
    <col min="13" max="13" width="12.28515625" style="3" bestFit="1" customWidth="1"/>
    <col min="14" max="16384" width="9.140625" style="3"/>
  </cols>
  <sheetData>
    <row r="1" spans="1:13" customFormat="1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6</v>
      </c>
    </row>
    <row r="2" spans="1:13" ht="20.25" thickBot="1" x14ac:dyDescent="0.35">
      <c r="A2" s="4" t="s">
        <v>7</v>
      </c>
      <c r="B2" s="2" t="s">
        <v>8</v>
      </c>
      <c r="C2" s="2">
        <v>1050</v>
      </c>
      <c r="D2" s="2" t="s">
        <v>15</v>
      </c>
      <c r="E2" s="6">
        <v>0.55000000000000004</v>
      </c>
      <c r="F2" s="6">
        <f>C2*E2</f>
        <v>577.5</v>
      </c>
      <c r="G2" s="5" t="s">
        <v>16</v>
      </c>
      <c r="H2" s="2" t="s">
        <v>14</v>
      </c>
      <c r="L2" s="7" t="s">
        <v>23</v>
      </c>
      <c r="M2"/>
    </row>
    <row r="3" spans="1:13" ht="15.75" thickTop="1" x14ac:dyDescent="0.25">
      <c r="A3" s="4" t="s">
        <v>7</v>
      </c>
      <c r="B3" s="2" t="s">
        <v>10</v>
      </c>
      <c r="C3" s="2">
        <v>120</v>
      </c>
      <c r="D3" s="2" t="s">
        <v>9</v>
      </c>
      <c r="E3" s="6">
        <v>15.75</v>
      </c>
      <c r="F3" s="6">
        <f>C3*E3</f>
        <v>1890</v>
      </c>
      <c r="G3" s="5" t="s">
        <v>18</v>
      </c>
      <c r="H3" s="2" t="s">
        <v>17</v>
      </c>
      <c r="L3" s="4" t="s">
        <v>7</v>
      </c>
      <c r="M3" s="6">
        <f>SUM(F2:F6)</f>
        <v>4884.3500000000004</v>
      </c>
    </row>
    <row r="4" spans="1:13" x14ac:dyDescent="0.25">
      <c r="A4" s="4" t="s">
        <v>7</v>
      </c>
      <c r="B4" s="2" t="s">
        <v>20</v>
      </c>
      <c r="C4" s="2">
        <v>13</v>
      </c>
      <c r="D4" s="2" t="s">
        <v>9</v>
      </c>
      <c r="E4" s="6">
        <v>29.75</v>
      </c>
      <c r="F4" s="6">
        <f>C4*E4</f>
        <v>386.75</v>
      </c>
      <c r="G4" s="5" t="s">
        <v>18</v>
      </c>
      <c r="H4" s="2" t="s">
        <v>21</v>
      </c>
      <c r="L4" s="2"/>
      <c r="M4" s="2"/>
    </row>
    <row r="5" spans="1:13" x14ac:dyDescent="0.25">
      <c r="A5" s="4" t="s">
        <v>7</v>
      </c>
      <c r="B5" s="2" t="s">
        <v>11</v>
      </c>
      <c r="C5" s="2">
        <v>14</v>
      </c>
      <c r="D5" s="2" t="s">
        <v>9</v>
      </c>
      <c r="E5" s="6">
        <v>75</v>
      </c>
      <c r="F5" s="6">
        <f>C5*E5</f>
        <v>1050</v>
      </c>
      <c r="G5" s="5" t="s">
        <v>18</v>
      </c>
      <c r="H5" s="2" t="s">
        <v>22</v>
      </c>
      <c r="L5" s="2"/>
      <c r="M5" s="2"/>
    </row>
    <row r="6" spans="1:13" x14ac:dyDescent="0.25">
      <c r="A6" s="4" t="s">
        <v>7</v>
      </c>
      <c r="B6" s="2" t="s">
        <v>12</v>
      </c>
      <c r="C6" s="2">
        <v>1485</v>
      </c>
      <c r="D6" s="2" t="s">
        <v>15</v>
      </c>
      <c r="E6" s="6">
        <v>0.66</v>
      </c>
      <c r="F6" s="6">
        <f>C6*E6</f>
        <v>980.1</v>
      </c>
      <c r="G6" s="5" t="s">
        <v>16</v>
      </c>
      <c r="H6" s="2" t="s">
        <v>19</v>
      </c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L7" s="2"/>
      <c r="M7" s="2"/>
    </row>
    <row r="8" spans="1:13" x14ac:dyDescent="0.25">
      <c r="A8" s="8" t="s">
        <v>24</v>
      </c>
      <c r="B8" s="2" t="s">
        <v>25</v>
      </c>
      <c r="C8" s="2">
        <v>1</v>
      </c>
      <c r="D8" s="2" t="s">
        <v>9</v>
      </c>
      <c r="E8" s="2">
        <v>99</v>
      </c>
      <c r="F8" s="2">
        <f>C8*E8</f>
        <v>99</v>
      </c>
      <c r="G8" s="5" t="s">
        <v>18</v>
      </c>
      <c r="H8" s="2" t="s">
        <v>26</v>
      </c>
      <c r="L8" s="2"/>
      <c r="M8" s="2"/>
    </row>
    <row r="9" spans="1:13" x14ac:dyDescent="0.25">
      <c r="A9" s="8" t="s">
        <v>24</v>
      </c>
      <c r="B9" s="2" t="s">
        <v>27</v>
      </c>
      <c r="C9" s="2"/>
      <c r="D9" s="2"/>
      <c r="E9" s="2"/>
      <c r="F9" s="2"/>
      <c r="G9" s="2"/>
      <c r="H9" s="2"/>
      <c r="L9" s="2"/>
      <c r="M9" s="2"/>
    </row>
    <row r="10" spans="1:13" x14ac:dyDescent="0.25">
      <c r="A10" s="8" t="s">
        <v>24</v>
      </c>
      <c r="B10" s="2" t="s">
        <v>28</v>
      </c>
      <c r="C10" s="2"/>
      <c r="D10" s="2"/>
      <c r="E10" s="2"/>
      <c r="F10" s="2"/>
      <c r="G10" s="2"/>
      <c r="H10" s="2"/>
      <c r="L10" s="2"/>
      <c r="M10" s="2"/>
    </row>
    <row r="11" spans="1:13" x14ac:dyDescent="0.25">
      <c r="A11" s="8" t="s">
        <v>24</v>
      </c>
      <c r="L11" s="2"/>
      <c r="M11" s="2"/>
    </row>
    <row r="12" spans="1:13" x14ac:dyDescent="0.25">
      <c r="L12" s="2"/>
      <c r="M12" s="2"/>
    </row>
    <row r="13" spans="1:13" x14ac:dyDescent="0.25">
      <c r="L13" s="2"/>
      <c r="M13" s="2"/>
    </row>
  </sheetData>
  <hyperlinks>
    <hyperlink ref="G2" r:id="rId1" xr:uid="{F4F18C84-7C2A-48FB-8004-317535792BC3}"/>
    <hyperlink ref="G3" r:id="rId2" xr:uid="{ADFA0A0F-4714-409E-8183-2D1DC6F6AF6F}"/>
    <hyperlink ref="G6" r:id="rId3" xr:uid="{ABFF7B92-54B5-4DD1-902D-CD3F20ADE0CF}"/>
    <hyperlink ref="G4" r:id="rId4" xr:uid="{8CCAF7E5-106F-47B8-9280-E8F7218A5778}"/>
    <hyperlink ref="G5" r:id="rId5" xr:uid="{B1653E0F-ACED-4CCF-A400-CFAAC3AE7DBB}"/>
    <hyperlink ref="G8" r:id="rId6" xr:uid="{FAC46CC1-954E-4401-8371-771034A3763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414DE94637BA41B16756DFE4B8D2B8" ma:contentTypeVersion="16" ma:contentTypeDescription="Opret et nyt dokument." ma:contentTypeScope="" ma:versionID="49fd2ca43565d8a844063a34d6114918">
  <xsd:schema xmlns:xsd="http://www.w3.org/2001/XMLSchema" xmlns:xs="http://www.w3.org/2001/XMLSchema" xmlns:p="http://schemas.microsoft.com/office/2006/metadata/properties" xmlns:ns3="38ca45d6-8f85-4c3a-993a-743aa40b1336" xmlns:ns4="b3a9d7bc-3d6e-49e0-996a-e43c1f0bf7ab" targetNamespace="http://schemas.microsoft.com/office/2006/metadata/properties" ma:root="true" ma:fieldsID="1ff96052aa9fc0ac141bf2e3bdbf6a21" ns3:_="" ns4:_="">
    <xsd:import namespace="38ca45d6-8f85-4c3a-993a-743aa40b1336"/>
    <xsd:import namespace="b3a9d7bc-3d6e-49e0-996a-e43c1f0bf7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a45d6-8f85-4c3a-993a-743aa40b13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9d7bc-3d6e-49e0-996a-e43c1f0bf7a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værdi for deling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ca45d6-8f85-4c3a-993a-743aa40b13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8F24E-EFE3-4726-B043-086F7EA51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ca45d6-8f85-4c3a-993a-743aa40b1336"/>
    <ds:schemaRef ds:uri="b3a9d7bc-3d6e-49e0-996a-e43c1f0bf7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23FC16-0305-4970-AE77-B1379828493F}">
  <ds:schemaRefs>
    <ds:schemaRef ds:uri="http://www.w3.org/XML/1998/namespace"/>
    <ds:schemaRef ds:uri="b3a9d7bc-3d6e-49e0-996a-e43c1f0bf7ab"/>
    <ds:schemaRef ds:uri="38ca45d6-8f85-4c3a-993a-743aa40b13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551DD82-85F6-480E-8CF8-03738D4C40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materialeliste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Baun (Context&amp;)</dc:creator>
  <cp:lastModifiedBy>Kasper Baun (Context&amp;)</cp:lastModifiedBy>
  <dcterms:created xsi:type="dcterms:W3CDTF">2026-05-10T11:05:45Z</dcterms:created>
  <dcterms:modified xsi:type="dcterms:W3CDTF">2026-05-10T13:34:05Z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0x01010053414DE94637BA41B16756DFE4B8D2B8</vt:lpwstr>
  </property>
</Properties>
</file>