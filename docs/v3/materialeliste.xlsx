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ev\privat\rabbit-house\docs\v3\"/>
    </mc:Choice>
  </mc:AlternateContent>
  <xr:revisionPtr revIDLastSave="0" documentId="13_ncr:1_{7DAB072C-D5C6-495F-8E1B-DE391728D787}" xr6:coauthVersionLast="47" xr6:coauthVersionMax="47" xr10:uidLastSave="{00000000-0000-0000-0000-000000000000}"/>
  <bookViews>
    <workbookView xWindow="15690" yWindow="630" windowWidth="34095" windowHeight="18300" xr2:uid="{5334E723-DA25-4B94-9819-AB5A8FEA0E43}"/>
  </bookViews>
  <sheets>
    <sheet name="materialelist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" i="1" l="1"/>
  <c r="F12" i="1"/>
  <c r="F11" i="1"/>
  <c r="F10" i="1"/>
  <c r="F9" i="1"/>
  <c r="F8" i="1"/>
  <c r="F5" i="1"/>
  <c r="F4" i="1"/>
  <c r="F6" i="1"/>
  <c r="F3" i="1"/>
  <c r="F2" i="1"/>
  <c r="M3" i="1" l="1"/>
</calcChain>
</file>

<file path=xl/sharedStrings.xml><?xml version="1.0" encoding="utf-8"?>
<sst xmlns="http://schemas.openxmlformats.org/spreadsheetml/2006/main" count="62" uniqueCount="35">
  <si>
    <t>Kategori</t>
  </si>
  <si>
    <t>Vare</t>
  </si>
  <si>
    <t>Antal</t>
  </si>
  <si>
    <t>Enhed</t>
  </si>
  <si>
    <t>Pris pr. enhed (DKK)</t>
  </si>
  <si>
    <t>I alt (DKK)</t>
  </si>
  <si>
    <t>Noter</t>
  </si>
  <si>
    <t>Fundament</t>
  </si>
  <si>
    <t>Stabilgrus 0-32 mm</t>
  </si>
  <si>
    <t>stk</t>
  </si>
  <si>
    <t>Fundablok 50x20x15cm</t>
  </si>
  <si>
    <t>Cement 25 kg</t>
  </si>
  <si>
    <t>Støbemix 0-16mm</t>
  </si>
  <si>
    <t>Leverandør</t>
  </si>
  <si>
    <t>ca. 0,6 m³, 1.750 kg. pr. m³, (0,55 kr. pr. kg.)</t>
  </si>
  <si>
    <t>kg</t>
  </si>
  <si>
    <t>materialepladsen.dk</t>
  </si>
  <si>
    <t>Behov for 117 stk. Køber 120 så der er lidt til over til behov. Vi har 82 stk. nu.</t>
  </si>
  <si>
    <t>jemogfix.dk</t>
  </si>
  <si>
    <t>ca. 0,9 m³, 1.650 kg. pr. m³, (0,66 kr. pr. kg.)</t>
  </si>
  <si>
    <t>Armeringsjern</t>
  </si>
  <si>
    <t>Ø-8 mm 3 meter længde</t>
  </si>
  <si>
    <t>1:4 blandingsforhold. 25kg ~ 18 L</t>
  </si>
  <si>
    <t>Prisoverslag</t>
  </si>
  <si>
    <t>Konstruktion</t>
  </si>
  <si>
    <t>Murpap</t>
  </si>
  <si>
    <t xml:space="preserve">11 cm * 20 meter </t>
  </si>
  <si>
    <t>Bundrem</t>
  </si>
  <si>
    <t>Toprem</t>
  </si>
  <si>
    <t>Reglar</t>
  </si>
  <si>
    <t>Reglar 45 x 95 x 3600 mm PT NTR-AB</t>
  </si>
  <si>
    <t>Reglar 45 x 95 x 2400 mm PT NTR-AB</t>
  </si>
  <si>
    <t>Reglar 47 x 100 x 3600 mm Gran C24</t>
  </si>
  <si>
    <t>Reglar 47 x 100 x 2400 mm Gran C24</t>
  </si>
  <si>
    <t>Tagkonstruktion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</si>
</sst>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[$kr.-406]_-;\-* #,##0.00\ [$kr.-406]_-;_-* &quot;-&quot;??\ [$kr.-406]_-;_-@_-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10">
    <xf numFmtId="0" fontId="0" fillId="0" borderId="0" xfId="0"/>
    <xf numFmtId="49" fontId="4" fillId="6" borderId="10" xfId="3" applyNumberFormat="1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10" borderId="10" xfId="19" applyBorder="1" applyAlignment="1">
      <alignment horizontal="center" vertical="center"/>
    </xf>
    <xf numFmtId="0" fontId="18" fillId="0" borderId="10" xfId="42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0" fontId="3" fillId="0" borderId="1" xfId="2"/>
    <xf numFmtId="0" fontId="1" fillId="14" borderId="10" xfId="23" applyBorder="1" applyAlignment="1">
      <alignment horizontal="center" vertical="center"/>
    </xf>
    <xf numFmtId="0" fontId="1" fillId="18" borderId="10" xfId="27" applyBorder="1" applyAlignment="1">
      <alignment horizontal="center" vertical="center"/>
    </xf>
  </cellXfs>
  <cellStyles count="43">
    <cellStyle name="20 % - Farve1" xfId="19" builtinId="30" customBuiltin="1"/>
    <cellStyle name="20 % - Farve2" xfId="23" builtinId="34" customBuiltin="1"/>
    <cellStyle name="20 % - Farve3" xfId="27" builtinId="38" customBuiltin="1"/>
    <cellStyle name="20 % - Farve4" xfId="31" builtinId="42" customBuiltin="1"/>
    <cellStyle name="20 % - Farve5" xfId="35" builtinId="46" customBuiltin="1"/>
    <cellStyle name="20 % - Farve6" xfId="39" builtinId="50" customBuiltin="1"/>
    <cellStyle name="40 % - Farve1" xfId="20" builtinId="31" customBuiltin="1"/>
    <cellStyle name="40 % - Farve2" xfId="24" builtinId="35" customBuiltin="1"/>
    <cellStyle name="40 % - Farve3" xfId="28" builtinId="39" customBuiltin="1"/>
    <cellStyle name="40 % - Farve4" xfId="32" builtinId="43" customBuiltin="1"/>
    <cellStyle name="40 % - Farve5" xfId="36" builtinId="47" customBuiltin="1"/>
    <cellStyle name="40 % - Farve6" xfId="40" builtinId="51" customBuiltin="1"/>
    <cellStyle name="60 % - Farve1" xfId="21" builtinId="32" customBuiltin="1"/>
    <cellStyle name="60 % - Farve2" xfId="25" builtinId="36" customBuiltin="1"/>
    <cellStyle name="60 % - Farve3" xfId="29" builtinId="40" customBuiltin="1"/>
    <cellStyle name="60 % - Farve4" xfId="33" builtinId="44" customBuiltin="1"/>
    <cellStyle name="60 % - Farve5" xfId="37" builtinId="48" customBuiltin="1"/>
    <cellStyle name="60 % - Farve6" xfId="41" builtinId="52" customBuiltin="1"/>
    <cellStyle name="Advarselstekst" xfId="14" builtinId="11" customBuiltin="1"/>
    <cellStyle name="Bemærk!" xfId="15" builtinId="10" customBuiltin="1"/>
    <cellStyle name="Beregning" xfId="11" builtinId="22" customBuiltin="1"/>
    <cellStyle name="Farve1" xfId="18" builtinId="29" customBuiltin="1"/>
    <cellStyle name="Farve2" xfId="22" builtinId="33" customBuiltin="1"/>
    <cellStyle name="Farve3" xfId="26" builtinId="37" customBuiltin="1"/>
    <cellStyle name="Farve4" xfId="30" builtinId="41" customBuiltin="1"/>
    <cellStyle name="Farve5" xfId="34" builtinId="45" customBuiltin="1"/>
    <cellStyle name="Farve6" xfId="38" builtinId="49" customBuiltin="1"/>
    <cellStyle name="Forklarende tekst" xfId="16" builtinId="53" customBuiltin="1"/>
    <cellStyle name="God" xfId="6" builtinId="26" customBuiltin="1"/>
    <cellStyle name="Input" xfId="9" builtinId="20" customBuiltin="1"/>
    <cellStyle name="Kontrollér celle" xfId="13" builtinId="23" customBuiltin="1"/>
    <cellStyle name="Link" xfId="42" builtinId="8"/>
    <cellStyle name="Neutral" xfId="8" builtinId="28" customBuiltin="1"/>
    <cellStyle name="Normal" xfId="0" builtinId="0"/>
    <cellStyle name="Output" xfId="10" builtinId="21" customBuiltin="1"/>
    <cellStyle name="Overskrift 1" xfId="2" builtinId="16" customBuiltin="1"/>
    <cellStyle name="Overskrift 2" xfId="3" builtinId="17" customBuiltin="1"/>
    <cellStyle name="Overskrift 3" xfId="4" builtinId="18" customBuiltin="1"/>
    <cellStyle name="Overskrift 4" xfId="5" builtinId="19" customBuiltin="1"/>
    <cellStyle name="Sammenkædet celle" xfId="12" builtinId="24" customBuiltin="1"/>
    <cellStyle name="Titel" xfId="1" builtinId="15" customBuiltin="1"/>
    <cellStyle name="Total" xfId="17" builtinId="25" customBuiltin="1"/>
    <cellStyle name="Ugyldig" xfId="7" builtinId="27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jemogfix.dk/impraegneret-reglar-45-x-95-x-2400-mm/4310/9057358/" TargetMode="External"/><Relationship Id="rId3" Type="http://schemas.openxmlformats.org/officeDocument/2006/relationships/hyperlink" Target="https://materialepladsen.dk/produkter/grus/Stoebemix0-16mm" TargetMode="External"/><Relationship Id="rId7" Type="http://schemas.openxmlformats.org/officeDocument/2006/relationships/hyperlink" Target="https://www.jemogfix.dk/impraegneret-reglar-45-x-95-x-3600-mm/4310/9057360/" TargetMode="External"/><Relationship Id="rId2" Type="http://schemas.openxmlformats.org/officeDocument/2006/relationships/hyperlink" Target="https://www.jemogfix.dk/fundablok-graa-15-x-20-x-50-cm/4176/9033558/" TargetMode="External"/><Relationship Id="rId1" Type="http://schemas.openxmlformats.org/officeDocument/2006/relationships/hyperlink" Target="https://materialepladsen.dk/produkter/grus/Stabilgrus0-32mm" TargetMode="External"/><Relationship Id="rId6" Type="http://schemas.openxmlformats.org/officeDocument/2006/relationships/hyperlink" Target="https://www.jemogfix.dk/phoenix-murpap-11-cm-x-20-meter/4210/9036209/" TargetMode="External"/><Relationship Id="rId5" Type="http://schemas.openxmlformats.org/officeDocument/2006/relationships/hyperlink" Target="https://www.jemogfix.dk/aalborg-portland-basis-aalborg-cement-25-kg/4170/9814769/" TargetMode="External"/><Relationship Id="rId10" Type="http://schemas.openxmlformats.org/officeDocument/2006/relationships/hyperlink" Target="https://www.jemogfix.dk/reglar-47-x-100-x-2400-mm/4110/9057295/" TargetMode="External"/><Relationship Id="rId4" Type="http://schemas.openxmlformats.org/officeDocument/2006/relationships/hyperlink" Target="https://www.jemogfix.dk/kamstaal-8-mm-x-3-meter/4164/9042660/" TargetMode="External"/><Relationship Id="rId9" Type="http://schemas.openxmlformats.org/officeDocument/2006/relationships/hyperlink" Target="https://www.jemogfix.dk/reglar-47-x-100-x-3600-mm/4110/9057297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2E8CE-734F-4C5C-A774-DE01A3B04B39}">
  <dimension ref="A1:M27"/>
  <sheetViews>
    <sheetView tabSelected="1" workbookViewId="0">
      <selection activeCell="E28" sqref="E28"/>
    </sheetView>
  </sheetViews>
  <sheetFormatPr defaultRowHeight="15" x14ac:dyDescent="0.25"/>
  <cols>
    <col min="1" max="1" width="15.42578125" style="3" bestFit="1" customWidth="1"/>
    <col min="2" max="2" width="35.5703125" style="3" bestFit="1" customWidth="1"/>
    <col min="3" max="3" width="6.42578125" style="3" bestFit="1" customWidth="1"/>
    <col min="4" max="4" width="7.7109375" style="3" bestFit="1" customWidth="1"/>
    <col min="5" max="5" width="22" style="3" bestFit="1" customWidth="1"/>
    <col min="6" max="6" width="12.28515625" style="3" bestFit="1" customWidth="1"/>
    <col min="7" max="7" width="19.5703125" style="3" bestFit="1" customWidth="1"/>
    <col min="8" max="8" width="68" style="3" bestFit="1" customWidth="1"/>
    <col min="9" max="11" width="9.140625" style="3"/>
    <col min="12" max="12" width="17" style="3" customWidth="1"/>
    <col min="13" max="13" width="12.28515625" style="3" bestFit="1" customWidth="1"/>
    <col min="14" max="16384" width="9.140625" style="3"/>
  </cols>
  <sheetData>
    <row r="1" spans="1:13" customFormat="1" ht="17.2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13</v>
      </c>
      <c r="H1" s="1" t="s">
        <v>6</v>
      </c>
    </row>
    <row r="2" spans="1:13" ht="20.25" thickBot="1" x14ac:dyDescent="0.35">
      <c r="A2" s="4" t="s">
        <v>7</v>
      </c>
      <c r="B2" s="2" t="s">
        <v>8</v>
      </c>
      <c r="C2" s="2">
        <v>1050</v>
      </c>
      <c r="D2" s="2" t="s">
        <v>15</v>
      </c>
      <c r="E2" s="6">
        <v>0.55000000000000004</v>
      </c>
      <c r="F2" s="6">
        <f>C2*E2</f>
        <v>577.5</v>
      </c>
      <c r="G2" s="5" t="s">
        <v>16</v>
      </c>
      <c r="H2" s="2" t="s">
        <v>14</v>
      </c>
      <c r="L2" s="7" t="s">
        <v>23</v>
      </c>
      <c r="M2"/>
    </row>
    <row r="3" spans="1:13" ht="15.75" thickTop="1" x14ac:dyDescent="0.25">
      <c r="A3" s="4" t="s">
        <v>7</v>
      </c>
      <c r="B3" s="2" t="s">
        <v>10</v>
      </c>
      <c r="C3" s="2">
        <v>120</v>
      </c>
      <c r="D3" s="2" t="s">
        <v>9</v>
      </c>
      <c r="E3" s="6">
        <v>15.75</v>
      </c>
      <c r="F3" s="6">
        <f>C3*E3</f>
        <v>1890</v>
      </c>
      <c r="G3" s="5" t="s">
        <v>18</v>
      </c>
      <c r="H3" s="2" t="s">
        <v>17</v>
      </c>
      <c r="L3" s="4" t="s">
        <v>7</v>
      </c>
      <c r="M3" s="6">
        <f>SUM(F2:F6)</f>
        <v>4884.3500000000004</v>
      </c>
    </row>
    <row r="4" spans="1:13" x14ac:dyDescent="0.25">
      <c r="A4" s="4" t="s">
        <v>7</v>
      </c>
      <c r="B4" s="2" t="s">
        <v>20</v>
      </c>
      <c r="C4" s="2">
        <v>13</v>
      </c>
      <c r="D4" s="2" t="s">
        <v>9</v>
      </c>
      <c r="E4" s="6">
        <v>29.75</v>
      </c>
      <c r="F4" s="6">
        <f>C4*E4</f>
        <v>386.75</v>
      </c>
      <c r="G4" s="5" t="s">
        <v>18</v>
      </c>
      <c r="H4" s="2" t="s">
        <v>21</v>
      </c>
      <c r="L4" s="8" t="s">
        <v>24</v>
      </c>
      <c r="M4" s="6">
        <f>SUM(F8:F12)</f>
        <v>2395.1999999999998</v>
      </c>
    </row>
    <row r="5" spans="1:13" x14ac:dyDescent="0.25">
      <c r="A5" s="4" t="s">
        <v>7</v>
      </c>
      <c r="B5" s="2" t="s">
        <v>11</v>
      </c>
      <c r="C5" s="2">
        <v>14</v>
      </c>
      <c r="D5" s="2" t="s">
        <v>9</v>
      </c>
      <c r="E5" s="6">
        <v>75</v>
      </c>
      <c r="F5" s="6">
        <f>C5*E5</f>
        <v>1050</v>
      </c>
      <c r="G5" s="5" t="s">
        <v>18</v>
      </c>
      <c r="H5" s="2" t="s">
        <v>22</v>
      </c>
      <c r="L5" s="2"/>
      <c r="M5" s="2"/>
    </row>
    <row r="6" spans="1:13" x14ac:dyDescent="0.25">
      <c r="A6" s="4" t="s">
        <v>7</v>
      </c>
      <c r="B6" s="2" t="s">
        <v>12</v>
      </c>
      <c r="C6" s="2">
        <v>1485</v>
      </c>
      <c r="D6" s="2" t="s">
        <v>15</v>
      </c>
      <c r="E6" s="6">
        <v>0.66</v>
      </c>
      <c r="F6" s="6">
        <f>C6*E6</f>
        <v>980.1</v>
      </c>
      <c r="G6" s="5" t="s">
        <v>16</v>
      </c>
      <c r="H6" s="2" t="s">
        <v>19</v>
      </c>
      <c r="L6" s="2"/>
      <c r="M6" s="2"/>
    </row>
    <row r="7" spans="1:13" x14ac:dyDescent="0.25">
      <c r="A7" s="2"/>
      <c r="B7" s="2"/>
      <c r="C7" s="2"/>
      <c r="D7" s="2"/>
      <c r="E7" s="2"/>
      <c r="F7" s="2"/>
      <c r="G7" s="2"/>
      <c r="H7" s="2"/>
      <c r="L7" s="2"/>
      <c r="M7" s="2"/>
    </row>
    <row r="8" spans="1:13" x14ac:dyDescent="0.25">
      <c r="A8" s="8" t="s">
        <v>24</v>
      </c>
      <c r="B8" s="2" t="s">
        <v>25</v>
      </c>
      <c r="C8" s="2">
        <v>1</v>
      </c>
      <c r="D8" s="2" t="s">
        <v>9</v>
      </c>
      <c r="E8" s="6">
        <v>99</v>
      </c>
      <c r="F8" s="6">
        <f>C8*E8</f>
        <v>99</v>
      </c>
      <c r="G8" s="5" t="s">
        <v>18</v>
      </c>
      <c r="H8" s="2" t="s">
        <v>26</v>
      </c>
      <c r="L8" s="2"/>
      <c r="M8" s="2"/>
    </row>
    <row r="9" spans="1:13" x14ac:dyDescent="0.25">
      <c r="A9" s="8" t="s">
        <v>24</v>
      </c>
      <c r="B9" s="2" t="s">
        <v>27</v>
      </c>
      <c r="C9" s="2">
        <v>2</v>
      </c>
      <c r="D9" s="2" t="s">
        <v>9</v>
      </c>
      <c r="E9" s="6">
        <v>71.099999999999994</v>
      </c>
      <c r="F9" s="6">
        <f>C9*E9</f>
        <v>142.19999999999999</v>
      </c>
      <c r="G9" s="5" t="s">
        <v>18</v>
      </c>
      <c r="H9" s="2" t="s">
        <v>30</v>
      </c>
      <c r="L9" s="2"/>
      <c r="M9" s="2"/>
    </row>
    <row r="10" spans="1:13" x14ac:dyDescent="0.25">
      <c r="A10" s="8" t="s">
        <v>24</v>
      </c>
      <c r="B10" s="2" t="s">
        <v>27</v>
      </c>
      <c r="C10" s="2">
        <v>5</v>
      </c>
      <c r="D10" s="2" t="s">
        <v>9</v>
      </c>
      <c r="E10" s="6">
        <v>47.4</v>
      </c>
      <c r="F10" s="6">
        <f>C10*E10</f>
        <v>237</v>
      </c>
      <c r="G10" s="5" t="s">
        <v>18</v>
      </c>
      <c r="H10" s="2" t="s">
        <v>31</v>
      </c>
      <c r="L10" s="2"/>
      <c r="M10" s="2"/>
    </row>
    <row r="11" spans="1:13" x14ac:dyDescent="0.25">
      <c r="A11" s="8" t="s">
        <v>24</v>
      </c>
      <c r="B11" s="2" t="s">
        <v>28</v>
      </c>
      <c r="C11" s="2">
        <v>2</v>
      </c>
      <c r="D11" s="2" t="s">
        <v>9</v>
      </c>
      <c r="E11" s="6">
        <v>63.9</v>
      </c>
      <c r="F11" s="6">
        <f>C11*E11</f>
        <v>127.8</v>
      </c>
      <c r="G11" s="5" t="s">
        <v>18</v>
      </c>
      <c r="H11" s="2" t="s">
        <v>32</v>
      </c>
      <c r="L11" s="2"/>
      <c r="M11" s="2"/>
    </row>
    <row r="12" spans="1:13" x14ac:dyDescent="0.25">
      <c r="A12" s="8" t="s">
        <v>24</v>
      </c>
      <c r="B12" s="2" t="s">
        <v>29</v>
      </c>
      <c r="C12" s="2">
        <v>42</v>
      </c>
      <c r="D12" s="2" t="s">
        <v>9</v>
      </c>
      <c r="E12" s="6">
        <v>42.6</v>
      </c>
      <c r="F12" s="6">
        <f>C12*E12</f>
        <v>1789.2</v>
      </c>
      <c r="G12" s="5" t="s">
        <v>18</v>
      </c>
      <c r="H12" s="2" t="s">
        <v>33</v>
      </c>
      <c r="L12" s="2"/>
      <c r="M12" s="2"/>
    </row>
    <row r="13" spans="1:13" x14ac:dyDescent="0.25">
      <c r="A13" s="2"/>
      <c r="B13" s="2"/>
      <c r="C13" s="2"/>
      <c r="D13" s="2"/>
      <c r="E13" s="2"/>
      <c r="F13" s="2"/>
      <c r="G13" s="2"/>
      <c r="H13" s="2"/>
      <c r="L13" s="2"/>
      <c r="M13" s="2"/>
    </row>
    <row r="14" spans="1:13" x14ac:dyDescent="0.25">
      <c r="A14" s="9" t="s">
        <v>34</v>
      </c>
      <c r="B14" s="2"/>
      <c r="C14" s="2"/>
      <c r="D14" s="2"/>
      <c r="E14" s="2"/>
      <c r="F14" s="2"/>
      <c r="G14" s="2"/>
      <c r="H14" s="2"/>
      <c r="L14" s="2"/>
      <c r="M14" s="2"/>
    </row>
    <row r="15" spans="1:13" x14ac:dyDescent="0.25">
      <c r="A15" s="2"/>
      <c r="B15" s="2"/>
      <c r="C15" s="2"/>
      <c r="D15" s="2"/>
      <c r="E15" s="2"/>
      <c r="F15" s="2"/>
      <c r="G15" s="2"/>
      <c r="H15" s="2"/>
    </row>
    <row r="16" spans="1:13" x14ac:dyDescent="0.25">
      <c r="A16" s="2"/>
      <c r="B16" s="2"/>
      <c r="C16" s="2"/>
      <c r="D16" s="2"/>
      <c r="E16" s="2"/>
      <c r="F16" s="2"/>
      <c r="G16" s="2"/>
      <c r="H16" s="2"/>
    </row>
    <row r="17" spans="1:8" x14ac:dyDescent="0.25">
      <c r="A17" s="2"/>
      <c r="B17" s="2"/>
      <c r="C17" s="2"/>
      <c r="D17" s="2"/>
      <c r="E17" s="2"/>
      <c r="F17" s="2"/>
      <c r="G17" s="2"/>
      <c r="H17" s="2"/>
    </row>
    <row r="18" spans="1:8" x14ac:dyDescent="0.25">
      <c r="A18" s="2"/>
      <c r="B18" s="2"/>
      <c r="C18" s="2"/>
      <c r="D18" s="2"/>
      <c r="E18" s="2"/>
      <c r="F18" s="2"/>
      <c r="G18" s="2"/>
      <c r="H18" s="2"/>
    </row>
    <row r="19" spans="1:8" x14ac:dyDescent="0.25">
      <c r="A19" s="2"/>
      <c r="B19" s="2"/>
      <c r="C19" s="2"/>
      <c r="D19" s="2"/>
      <c r="E19" s="2"/>
      <c r="F19" s="2"/>
      <c r="G19" s="2"/>
      <c r="H19" s="2"/>
    </row>
    <row r="20" spans="1:8" x14ac:dyDescent="0.25">
      <c r="A20" s="2"/>
      <c r="B20" s="2"/>
      <c r="C20" s="2"/>
      <c r="D20" s="2"/>
      <c r="E20" s="2"/>
      <c r="F20" s="2"/>
      <c r="G20" s="2"/>
      <c r="H20" s="2"/>
    </row>
    <row r="21" spans="1:8" x14ac:dyDescent="0.25">
      <c r="A21" s="2"/>
      <c r="B21" s="2"/>
      <c r="C21" s="2"/>
      <c r="D21" s="2"/>
      <c r="E21" s="2"/>
      <c r="F21" s="2"/>
      <c r="G21" s="2"/>
      <c r="H21" s="2"/>
    </row>
    <row r="22" spans="1:8" x14ac:dyDescent="0.25">
      <c r="A22" s="2"/>
      <c r="B22" s="2"/>
      <c r="C22" s="2"/>
      <c r="D22" s="2"/>
      <c r="E22" s="2"/>
      <c r="F22" s="2"/>
      <c r="G22" s="2"/>
      <c r="H22" s="2"/>
    </row>
    <row r="23" spans="1:8" x14ac:dyDescent="0.25">
      <c r="A23" s="2"/>
      <c r="B23" s="2"/>
      <c r="C23" s="2"/>
      <c r="D23" s="2"/>
      <c r="E23" s="2"/>
      <c r="F23" s="2"/>
      <c r="G23" s="2"/>
      <c r="H23" s="2"/>
    </row>
    <row r="24" spans="1:8" x14ac:dyDescent="0.25">
      <c r="A24" s="2"/>
      <c r="B24" s="2"/>
      <c r="C24" s="2"/>
      <c r="D24" s="2"/>
      <c r="E24" s="2"/>
      <c r="F24" s="2"/>
      <c r="G24" s="2"/>
      <c r="H24" s="2"/>
    </row>
    <row r="25" spans="1:8" x14ac:dyDescent="0.25">
      <c r="A25" s="2"/>
      <c r="B25" s="2"/>
      <c r="C25" s="2"/>
      <c r="D25" s="2"/>
      <c r="E25" s="2"/>
      <c r="F25" s="2"/>
      <c r="G25" s="2"/>
      <c r="H25" s="2"/>
    </row>
    <row r="26" spans="1:8" x14ac:dyDescent="0.25">
      <c r="A26" s="2"/>
      <c r="B26" s="2"/>
      <c r="C26" s="2"/>
      <c r="D26" s="2"/>
      <c r="E26" s="2"/>
      <c r="F26" s="2"/>
      <c r="G26" s="2"/>
      <c r="H26" s="2"/>
    </row>
    <row r="27" spans="1:8" x14ac:dyDescent="0.25">
      <c r="A27" s="2"/>
      <c r="B27" s="2"/>
      <c r="C27" s="2"/>
      <c r="D27" s="2"/>
      <c r="E27" s="2"/>
      <c r="F27" s="2"/>
      <c r="G27" s="2"/>
      <c r="H27" s="2"/>
    </row>
  </sheetData>
  <hyperlinks>
    <hyperlink ref="G2" r:id="rId1" xr:uid="{F4F18C84-7C2A-48FB-8004-317535792BC3}"/>
    <hyperlink ref="G3" r:id="rId2" xr:uid="{ADFA0A0F-4714-409E-8183-2D1DC6F6AF6F}"/>
    <hyperlink ref="G6" r:id="rId3" xr:uid="{ABFF7B92-54B5-4DD1-902D-CD3F20ADE0CF}"/>
    <hyperlink ref="G4" r:id="rId4" xr:uid="{8CCAF7E5-106F-47B8-9280-E8F7218A5778}"/>
    <hyperlink ref="G5" r:id="rId5" xr:uid="{B1653E0F-ACED-4CCF-A400-CFAAC3AE7DBB}"/>
    <hyperlink ref="G8" r:id="rId6" xr:uid="{FAC46CC1-954E-4401-8371-771034A3763E}"/>
    <hyperlink ref="G9" r:id="rId7" xr:uid="{C3AD733A-BB1C-4DD8-9997-7E1264E27325}"/>
    <hyperlink ref="G10" r:id="rId8" xr:uid="{822C708A-89BB-4C41-85A2-7F46AE9C3AA4}"/>
    <hyperlink ref="G11" r:id="rId9" xr:uid="{AB4A796C-54C2-42B8-BEA7-318533409B7B}"/>
    <hyperlink ref="G12" r:id="rId10" xr:uid="{655A2597-DBF9-463B-8049-641996B3C27E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53414DE94637BA41B16756DFE4B8D2B8" ma:contentTypeVersion="16" ma:contentTypeDescription="Opret et nyt dokument." ma:contentTypeScope="" ma:versionID="49fd2ca43565d8a844063a34d6114918">
  <xsd:schema xmlns:xsd="http://www.w3.org/2001/XMLSchema" xmlns:xs="http://www.w3.org/2001/XMLSchema" xmlns:p="http://schemas.microsoft.com/office/2006/metadata/properties" xmlns:ns3="38ca45d6-8f85-4c3a-993a-743aa40b1336" xmlns:ns4="b3a9d7bc-3d6e-49e0-996a-e43c1f0bf7ab" targetNamespace="http://schemas.microsoft.com/office/2006/metadata/properties" ma:root="true" ma:fieldsID="1ff96052aa9fc0ac141bf2e3bdbf6a21" ns3:_="" ns4:_="">
    <xsd:import namespace="38ca45d6-8f85-4c3a-993a-743aa40b1336"/>
    <xsd:import namespace="b3a9d7bc-3d6e-49e0-996a-e43c1f0bf7a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4:SharedWithUsers" minOccurs="0"/>
                <xsd:element ref="ns4:SharedWithDetails" minOccurs="0"/>
                <xsd:element ref="ns4:SharingHintHash" minOccurs="0"/>
                <xsd:element ref="ns3:_activity" minOccurs="0"/>
                <xsd:element ref="ns3:MediaServiceSearchProperties" minOccurs="0"/>
                <xsd:element ref="ns3:MediaServiceDateTaken" minOccurs="0"/>
                <xsd:element ref="ns3:MediaServiceLocation" minOccurs="0"/>
                <xsd:element ref="ns3:MediaLengthInSeconds" minOccurs="0"/>
                <xsd:element ref="ns3:MediaServiceObjectDetectorVersions" minOccurs="0"/>
                <xsd:element ref="ns3:MediaServiceSystem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8ca45d6-8f85-4c3a-993a-743aa40b133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  <xsd:element name="MediaServiceSearchProperties" ma:index="18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23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3a9d7bc-3d6e-49e0-996a-e43c1f0bf7ab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Delt med detaljer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6" nillable="true" ma:displayName="Hashværdi for deling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dhol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38ca45d6-8f85-4c3a-993a-743aa40b1336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C28F24E-EFE3-4726-B043-086F7EA5103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8ca45d6-8f85-4c3a-993a-743aa40b1336"/>
    <ds:schemaRef ds:uri="b3a9d7bc-3d6e-49e0-996a-e43c1f0bf7a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323FC16-0305-4970-AE77-B1379828493F}">
  <ds:schemaRefs>
    <ds:schemaRef ds:uri="http://www.w3.org/XML/1998/namespace"/>
    <ds:schemaRef ds:uri="b3a9d7bc-3d6e-49e0-996a-e43c1f0bf7ab"/>
    <ds:schemaRef ds:uri="38ca45d6-8f85-4c3a-993a-743aa40b133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schemas.microsoft.com/office/2006/metadata/properties"/>
    <ds:schemaRef ds:uri="http://purl.org/dc/dcmitype/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1551DD82-85F6-480E-8CF8-03738D4C401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materialeliste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Kasper Baun (Context&amp;)</dc:creator>
  <cp:lastModifiedBy>Kasper Baun (Context&amp;)</cp:lastModifiedBy>
  <dcterms:created xsi:type="dcterms:W3CDTF">2026-05-10T11:05:45Z</dcterms:created>
  <dcterms:modified xsi:type="dcterms:W3CDTF">2026-05-10T16:04:50Z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0x01010053414DE94637BA41B16756DFE4B8D2B8</vt:lpwstr>
  </property>
</Properties>
</file>