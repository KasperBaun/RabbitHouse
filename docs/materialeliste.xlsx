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dev\privat\rabbit-house\docs\"/>
    </mc:Choice>
  </mc:AlternateContent>
  <xr:revisionPtr revIDLastSave="0" documentId="13_ncr:1_{4CD1EF9E-07ED-495C-B0C4-84F3C464CCB2}" xr6:coauthVersionLast="47" xr6:coauthVersionMax="47" xr10:uidLastSave="{00000000-0000-0000-0000-000000000000}"/>
  <bookViews>
    <workbookView xWindow="1800" yWindow="510" windowWidth="34095" windowHeight="18300" xr2:uid="{00000000-000D-0000-FFFF-FFFF00000000}"/>
  </bookViews>
  <sheets>
    <sheet name="summary" sheetId="1" r:id="rId1"/>
    <sheet name="fundament" sheetId="2" r:id="rId2"/>
    <sheet name="konstruktion" sheetId="3" r:id="rId3"/>
    <sheet name="tagkonstruktion_tagpap" sheetId="4" r:id="rId4"/>
    <sheet name="tagkonstruktion_eternit_b7" sheetId="5" r:id="rId5"/>
    <sheet name="beklaedning_klink" sheetId="6" r:id="rId6"/>
    <sheet name="beklaedning_board_on_board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7" l="1"/>
  <c r="F10" i="7"/>
  <c r="F8" i="7"/>
  <c r="F7" i="7"/>
  <c r="F6" i="7"/>
  <c r="F5" i="7"/>
  <c r="F4" i="7"/>
  <c r="F3" i="7"/>
  <c r="F2" i="7"/>
  <c r="H13" i="7" s="1"/>
  <c r="F9" i="6"/>
  <c r="F8" i="6"/>
  <c r="F6" i="6"/>
  <c r="F5" i="6"/>
  <c r="F4" i="6"/>
  <c r="F3" i="6"/>
  <c r="F2" i="6"/>
  <c r="H11" i="6" s="1"/>
  <c r="F18" i="5"/>
  <c r="H20" i="5" s="1"/>
  <c r="F17" i="5"/>
  <c r="F15" i="5"/>
  <c r="F14" i="5"/>
  <c r="F13" i="5"/>
  <c r="F12" i="5"/>
  <c r="F11" i="5"/>
  <c r="F10" i="5"/>
  <c r="F8" i="5"/>
  <c r="F7" i="5"/>
  <c r="F6" i="5"/>
  <c r="F4" i="5"/>
  <c r="F3" i="5"/>
  <c r="F2" i="5"/>
  <c r="F24" i="4"/>
  <c r="F23" i="4"/>
  <c r="F22" i="4"/>
  <c r="F20" i="4"/>
  <c r="F19" i="4"/>
  <c r="F18" i="4"/>
  <c r="F17" i="4"/>
  <c r="F16" i="4"/>
  <c r="F15" i="4"/>
  <c r="F14" i="4"/>
  <c r="F13" i="4"/>
  <c r="H26" i="4" s="1"/>
  <c r="F11" i="4"/>
  <c r="F10" i="4"/>
  <c r="F8" i="4"/>
  <c r="F7" i="4"/>
  <c r="F6" i="4"/>
  <c r="F4" i="4"/>
  <c r="F3" i="4"/>
  <c r="F2" i="4"/>
  <c r="F6" i="3"/>
  <c r="F5" i="3"/>
  <c r="F4" i="3"/>
  <c r="F3" i="3"/>
  <c r="H8" i="3" s="1"/>
  <c r="F2" i="3"/>
  <c r="F8" i="2"/>
  <c r="F7" i="2"/>
  <c r="F6" i="2"/>
  <c r="F5" i="2"/>
  <c r="C15" i="1" s="1"/>
  <c r="F4" i="2"/>
  <c r="B16" i="1" s="1"/>
  <c r="F3" i="2"/>
  <c r="F2" i="2"/>
  <c r="B9" i="1"/>
  <c r="B10" i="1"/>
  <c r="B7" i="1" l="1"/>
  <c r="H10" i="2"/>
  <c r="B8" i="1"/>
  <c r="B15" i="1"/>
  <c r="B17" i="1" s="1"/>
  <c r="C16" i="1"/>
  <c r="C17" i="1" l="1"/>
  <c r="D16" i="1"/>
  <c r="B11" i="1"/>
  <c r="D15" i="1"/>
</calcChain>
</file>

<file path=xl/sharedStrings.xml><?xml version="1.0" encoding="utf-8"?>
<sst xmlns="http://schemas.openxmlformats.org/spreadsheetml/2006/main" count="360" uniqueCount="143">
  <si>
    <t>Rabbit-house BOM — variant selector</t>
  </si>
  <si>
    <t>Valgt tagdækning:</t>
  </si>
  <si>
    <t>tagpap</t>
  </si>
  <si>
    <t>Valgt beklædning:</t>
  </si>
  <si>
    <t>klink</t>
  </si>
  <si>
    <t>Valgt konfiguration — totaler</t>
  </si>
  <si>
    <t>Fundament</t>
  </si>
  <si>
    <t>Konstruktion</t>
  </si>
  <si>
    <t>Tagkonstruktion</t>
  </si>
  <si>
    <t>Beklædning</t>
  </si>
  <si>
    <t>TOTAL valgt</t>
  </si>
  <si>
    <t>Sammenligning — alle 4 kombinationer</t>
  </si>
  <si>
    <t>eternit_b7</t>
  </si>
  <si>
    <t>Δ (eternit − tagpap)</t>
  </si>
  <si>
    <t>Klink</t>
  </si>
  <si>
    <t>Board-on-board (1-på-2)</t>
  </si>
  <si>
    <t>Δ (bob − klink)</t>
  </si>
  <si>
    <t>Noter</t>
  </si>
  <si>
    <t>• Selectors i B3/B4 styrer total i B11 via INDIRECT.</t>
  </si>
  <si>
    <t>• Tagkonstruktion_eternit_b7 bruger tungere spær (47×100 vs 45×95 ved tagpap).</t>
  </si>
  <si>
    <t>• Board-on-board pris er Aros tilbudspris 160 kr/m² (normalpris 225). Klink kommer sortmalet; bob behøver træolie/maling.</t>
  </si>
  <si>
    <t>• Voliernet og isolering er ens på tværs af beklædningsvarianter.</t>
  </si>
  <si>
    <t>• Variantvalg i build.scad: roof_cover = "tagpap_osb"|"eternit_b7"; cladding_type = "klink"|"board_on_board".</t>
  </si>
  <si>
    <t>Kategori</t>
  </si>
  <si>
    <t>Vare</t>
  </si>
  <si>
    <t>Antal</t>
  </si>
  <si>
    <t>Enhed</t>
  </si>
  <si>
    <t>Pris pr. enhed (DKK)</t>
  </si>
  <si>
    <t>I alt (DKK)</t>
  </si>
  <si>
    <t>Leverandør</t>
  </si>
  <si>
    <t>Stabilgrus 0-32 mm</t>
  </si>
  <si>
    <t>kg</t>
  </si>
  <si>
    <t>materialepladsen.dk</t>
  </si>
  <si>
    <t>ca. 0,6 m³, 1.750 kg pr. m³</t>
  </si>
  <si>
    <t>Fundablok 50x20x15 cm</t>
  </si>
  <si>
    <t>stk</t>
  </si>
  <si>
    <t>jemogfix.dk</t>
  </si>
  <si>
    <t>Behov 117 stk; købes 120</t>
  </si>
  <si>
    <t>Armeringsjern Ø8 mm × 3 m</t>
  </si>
  <si>
    <t>I bundrem-rille</t>
  </si>
  <si>
    <t>Cement 25 kg</t>
  </si>
  <si>
    <t>1:4 blandingsforhold, 25 kg ~ 18 L</t>
  </si>
  <si>
    <t>Støbemix 0-16 mm</t>
  </si>
  <si>
    <t>ca. 0,9 m³, 1.650 kg pr. m³</t>
  </si>
  <si>
    <t>Gevindstang M10 × 1000 mm</t>
  </si>
  <si>
    <t>Ankerbolte gennem sokkel</t>
  </si>
  <si>
    <t>M10 møtrikker (12-pak)</t>
  </si>
  <si>
    <t>pk.</t>
  </si>
  <si>
    <t>NKT Fasteners</t>
  </si>
  <si>
    <t>TOTAL</t>
  </si>
  <si>
    <t>Murpap (DPC)</t>
  </si>
  <si>
    <t>11 cm × 20 m — sokkel-isolering</t>
  </si>
  <si>
    <t>Bundrem 45×95×3600 PT NTR-AB</t>
  </si>
  <si>
    <t>Bundrem 45×95×2400 PT NTR-AB</t>
  </si>
  <si>
    <t>Toprem 47×100×3600 C24 gran</t>
  </si>
  <si>
    <t>Reglar 47×100×2400 C24 gran</t>
  </si>
  <si>
    <t>Vægreglar c/c 600</t>
  </si>
  <si>
    <t>Træværk</t>
  </si>
  <si>
    <t>Spær 45×95×3000 C24 gran</t>
  </si>
  <si>
    <t>OSB-3 TG4 18 mm 2397×600 mm</t>
  </si>
  <si>
    <t>Tagdæk</t>
  </si>
  <si>
    <t>Sternbræt 21×120×3600 gran</t>
  </si>
  <si>
    <t>Hele perimeter 19 m</t>
  </si>
  <si>
    <t>Tagdækning</t>
  </si>
  <si>
    <t>Phoenix Selvbyggerpap 1×5 m</t>
  </si>
  <si>
    <t>Phoenix klæbeasfalt 310 ml</t>
  </si>
  <si>
    <t>Phoenix murpap til tagfod 15 cm × 20 m</t>
  </si>
  <si>
    <t>Aluinddækning</t>
  </si>
  <si>
    <t>Alu tagfod sort 55×80×1000 mm</t>
  </si>
  <si>
    <t>Alu sternkapsel sort 35×25×1000 mm</t>
  </si>
  <si>
    <t>Vandhåndtering</t>
  </si>
  <si>
    <t>Tagrende 110 mm (4+3 m)</t>
  </si>
  <si>
    <t>m</t>
  </si>
  <si>
    <t>Tagrende-beslag (konsoljern)</t>
  </si>
  <si>
    <t>c/c 550 mm</t>
  </si>
  <si>
    <t>Samlestykke tagrende</t>
  </si>
  <si>
    <t>Endebund tagrende 110 mm</t>
  </si>
  <si>
    <t>Bladsamler</t>
  </si>
  <si>
    <t>Nedløbsrør Ø75 mm × 3 m</t>
  </si>
  <si>
    <t>Stål</t>
  </si>
  <si>
    <t>Nedløbsbøjning</t>
  </si>
  <si>
    <t>Tudstykke til tagrende</t>
  </si>
  <si>
    <t>Ø75 mm</t>
  </si>
  <si>
    <t>Beslag</t>
  </si>
  <si>
    <t>Paslode vinkelbeslag 90×90×40 (20-pak)</t>
  </si>
  <si>
    <t>pak</t>
  </si>
  <si>
    <t>wood-online.dk</t>
  </si>
  <si>
    <t>48 nødvendige; 60 stk i 3 pak</t>
  </si>
  <si>
    <t>OSB/spær-skruer 5×80 mm</t>
  </si>
  <si>
    <t>Galvaniseret tagpapsøm 2,6×25 mm (100-pak)</t>
  </si>
  <si>
    <t>Spær 47×100×3000 C24 gran</t>
  </si>
  <si>
    <t>Stark</t>
  </si>
  <si>
    <t>Tungere end tagpap-spær</t>
  </si>
  <si>
    <t>C18 taglægte 38×73×4200 mm</t>
  </si>
  <si>
    <t>10-4.dk</t>
  </si>
  <si>
    <t>6 rækker à ~6,44 m + spild</t>
  </si>
  <si>
    <t>Imp. sternbræt 25×125×3600 gran</t>
  </si>
  <si>
    <t>xl-byg.dk</t>
  </si>
  <si>
    <t>Hele perimeter ~19 m</t>
  </si>
  <si>
    <t>Swisspearl B7 bølgeplade FK 1100×570 sortblå</t>
  </si>
  <si>
    <t>bygxtra.dk</t>
  </si>
  <si>
    <t>49 hele + 5 % spild</t>
  </si>
  <si>
    <t>Swisspearl 100 Tagskrue 6×100 (100-pak)</t>
  </si>
  <si>
    <t>davidsen.dk</t>
  </si>
  <si>
    <t>2 pr. plade × 49 + spild ~108</t>
  </si>
  <si>
    <t>Swisspearl PVC skumstrimmel 4,5 mm</t>
  </si>
  <si>
    <t>rl.</t>
  </si>
  <si>
    <t>Cembrit</t>
  </si>
  <si>
    <t>Overlap-tætning</t>
  </si>
  <si>
    <t>Tagrende-beslag</t>
  </si>
  <si>
    <t>Bladsamler 75-82 mm</t>
  </si>
  <si>
    <t>Nedløbsbøjning Ø75 mm</t>
  </si>
  <si>
    <t>Lægtesøm varmforzinket 2,8×60 (250-pak)</t>
  </si>
  <si>
    <t>Lægter på spær</t>
  </si>
  <si>
    <t>Klinkbeklædning sortmalet gran 25×125×4200 (pak)</t>
  </si>
  <si>
    <t>Frøslev klink, ~3 m² pr. pak</t>
  </si>
  <si>
    <t>Hjørnetrim 45×45×2400 mm</t>
  </si>
  <si>
    <t>4 udvendige hjørner</t>
  </si>
  <si>
    <t>Vindpap (housewrap)</t>
  </si>
  <si>
    <t>20 m² pr. rulle; behov ~17,5 m²</t>
  </si>
  <si>
    <t>Klemmelister 25×50×4200 mm</t>
  </si>
  <si>
    <t>Lodrette afstandslister c/c 600</t>
  </si>
  <si>
    <t>Isolering mineraluld 95 mm</t>
  </si>
  <si>
    <t>m²</t>
  </si>
  <si>
    <t>I stud-rum, 2 vægge ~6 m² + 2 vægge ~4 m²</t>
  </si>
  <si>
    <t>Voliere</t>
  </si>
  <si>
    <t>Voliernet welded 13×13 mm 1 m rl.</t>
  </si>
  <si>
    <t>1×10 m + 1×25 m</t>
  </si>
  <si>
    <t>Klamper til voliernet (pak)</t>
  </si>
  <si>
    <t>Galvaniserede sømklamper</t>
  </si>
  <si>
    <t>1-på-2 svensk gran 25×150 savskåret</t>
  </si>
  <si>
    <t>arossavvaerk.dk</t>
  </si>
  <si>
    <t>Tilbudspris; normal 225 kr/m². 2 lag pr. m² indeholdt</t>
  </si>
  <si>
    <t>Træolie/maling til naturligt træ</t>
  </si>
  <si>
    <t>L</t>
  </si>
  <si>
    <t>Behandling af gran 1-på-2 (klink kommer sortmalet)</t>
  </si>
  <si>
    <t>Hjørnetrim 70×70×2400 mm trykimp.</t>
  </si>
  <si>
    <t>Større end klink-trim — bob-stickout = 50 mm</t>
  </si>
  <si>
    <t>20 m² pr. rulle</t>
  </si>
  <si>
    <t>Vandrette afstandslister c/c 600 (lodrette boards)</t>
  </si>
  <si>
    <t>Samme som klink</t>
  </si>
  <si>
    <t>Rustfri A4 facadeskruer 4×60 (200-pak)</t>
  </si>
  <si>
    <t>Begge lag i bob — flere skruer end klink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</si>
</sst>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kr&quot;"/>
  </numFmts>
  <fonts count="4">
    <font>
      <sz val="11"/>
      <color theme="1"/>
      <name val="Aptos Narrow"/>
      <family val="2"/>
      <scheme val="minor"/>
    </font>
    <font>
      <b/>
      <sz val="11"/>
      <name val="Aptos Narrow"/>
    </font>
    <font>
      <sz val="11"/>
      <name val="Aptos Narrow"/>
    </font>
    <font>
      <b/>
      <sz val="14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DDDDDD"/>
      </patternFill>
    </fill>
    <fill>
      <patternFill patternType="solid">
        <fgColor rgb="FFFFF2CC"/>
      </patternFill>
    </fill>
    <fill>
      <patternFill patternType="solid">
        <fgColor rgb="FFEEEEEE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/>
    <xf numFmtId="4" fontId="0" fillId="0" borderId="0" xfId="0" applyNumberFormat="1"/>
    <xf numFmtId="0" fontId="1" fillId="0" borderId="0" xfId="0" applyFont="1"/>
    <xf numFmtId="0" fontId="1" fillId="4" borderId="0" xfId="0" applyFont="1" applyFill="1"/>
    <xf numFmtId="0" fontId="1" fillId="3" borderId="0" xfId="0" applyFont="1" applyFill="1"/>
    <xf numFmtId="164" fontId="1" fillId="3" borderId="0" xfId="0" applyNumberFormat="1" applyFont="1" applyFill="1"/>
    <xf numFmtId="164" fontId="0" fillId="5" borderId="0" xfId="0" applyNumberFormat="1" applyFill="1"/>
    <xf numFmtId="0" fontId="1" fillId="2" borderId="1" xfId="0" applyFont="1" applyFill="1" applyBorder="1"/>
    <xf numFmtId="0" fontId="1" fillId="0" borderId="1" xfId="0" applyFont="1" applyBorder="1"/>
    <xf numFmtId="0" fontId="0" fillId="0" borderId="1" xfId="0" applyBorder="1"/>
    <xf numFmtId="4" fontId="0" fillId="0" borderId="1" xfId="0" applyNumberFormat="1" applyBorder="1"/>
    <xf numFmtId="0" fontId="2" fillId="0" borderId="1" xfId="0" applyFont="1" applyBorder="1"/>
    <xf numFmtId="4" fontId="1" fillId="3" borderId="1" xfId="0" applyNumberFormat="1" applyFont="1" applyFill="1" applyBorder="1"/>
    <xf numFmtId="164" fontId="1" fillId="3" borderId="1" xfId="0" applyNumberFormat="1" applyFont="1" applyFill="1" applyBorder="1"/>
    <xf numFmtId="0" fontId="3" fillId="0" borderId="0" xfId="0" applyFont="1"/>
    <xf numFmtId="0" fontId="0" fillId="0" borderId="0" xfId="0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tabSelected="1" workbookViewId="0">
      <selection sqref="A1:D1"/>
    </sheetView>
  </sheetViews>
  <sheetFormatPr defaultRowHeight="15"/>
  <cols>
    <col min="1" max="1" width="36" customWidth="1"/>
    <col min="2" max="4" width="22" customWidth="1"/>
  </cols>
  <sheetData>
    <row r="1" spans="1:4" ht="18.75">
      <c r="A1" s="15" t="s">
        <v>0</v>
      </c>
      <c r="B1" s="16"/>
      <c r="C1" s="16"/>
      <c r="D1" s="16"/>
    </row>
    <row r="3" spans="1:4">
      <c r="A3" s="3" t="s">
        <v>1</v>
      </c>
      <c r="B3" t="s">
        <v>2</v>
      </c>
    </row>
    <row r="4" spans="1:4">
      <c r="A4" s="3" t="s">
        <v>3</v>
      </c>
      <c r="B4" t="s">
        <v>4</v>
      </c>
    </row>
    <row r="6" spans="1:4">
      <c r="A6" s="4" t="s">
        <v>5</v>
      </c>
    </row>
    <row r="7" spans="1:4">
      <c r="A7" t="s">
        <v>6</v>
      </c>
      <c r="B7" s="1">
        <f>SUM(fundament!F:F)</f>
        <v>5445.35</v>
      </c>
    </row>
    <row r="8" spans="1:4">
      <c r="A8" t="s">
        <v>7</v>
      </c>
      <c r="B8" s="1">
        <f>SUM(konstruktion!F:F)</f>
        <v>2523</v>
      </c>
    </row>
    <row r="9" spans="1:4">
      <c r="A9" t="s">
        <v>8</v>
      </c>
      <c r="B9" s="1">
        <f ca="1">SUM(INDIRECT("tagkonstruktion_"&amp;B3&amp;"!F:F"))</f>
        <v>9261.9500000000007</v>
      </c>
    </row>
    <row r="10" spans="1:4">
      <c r="A10" t="s">
        <v>9</v>
      </c>
      <c r="B10" s="1">
        <f ca="1">SUM(INDIRECT("beklaedning_"&amp;B4&amp;"!F:F"))</f>
        <v>7155.9</v>
      </c>
    </row>
    <row r="11" spans="1:4">
      <c r="A11" s="5" t="s">
        <v>10</v>
      </c>
      <c r="B11" s="6">
        <f ca="1">SUM(B7:B10)</f>
        <v>24386.200000000004</v>
      </c>
    </row>
    <row r="13" spans="1:4">
      <c r="A13" s="4" t="s">
        <v>11</v>
      </c>
    </row>
    <row r="14" spans="1:4">
      <c r="B14" s="3" t="s">
        <v>2</v>
      </c>
      <c r="C14" s="3" t="s">
        <v>12</v>
      </c>
      <c r="D14" s="3" t="s">
        <v>13</v>
      </c>
    </row>
    <row r="15" spans="1:4">
      <c r="A15" s="3" t="s">
        <v>14</v>
      </c>
      <c r="B15" s="1">
        <f>SUM(fundament!F:F)+SUM(konstruktion!F:F)+SUM(tagkonstruktion_tagpap!F:F)+SUM(beklaedning_klink!F:F)</f>
        <v>24386.200000000004</v>
      </c>
      <c r="C15" s="1">
        <f>SUM(fundament!F:F)+SUM(konstruktion!F:F)+SUM(tagkonstruktion_eternit_b7!F:F)+SUM(beklaedning_klink!F:F)</f>
        <v>25062</v>
      </c>
      <c r="D15" s="7">
        <f>C15-B15</f>
        <v>675.79999999999563</v>
      </c>
    </row>
    <row r="16" spans="1:4">
      <c r="A16" s="3" t="s">
        <v>15</v>
      </c>
      <c r="B16" s="1">
        <f>SUM(fundament!F:F)+SUM(konstruktion!F:F)+SUM(tagkonstruktion_tagpap!F:F)+SUM(beklaedning_board_on_board!F:F)</f>
        <v>24886.000000000004</v>
      </c>
      <c r="C16" s="1">
        <f>SUM(fundament!F:F)+SUM(konstruktion!F:F)+SUM(tagkonstruktion_eternit_b7!F:F)+SUM(beklaedning_board_on_board!F:F)</f>
        <v>25561.8</v>
      </c>
      <c r="D16" s="7">
        <f>C16-B16</f>
        <v>675.79999999999563</v>
      </c>
    </row>
    <row r="17" spans="1:4">
      <c r="A17" s="3" t="s">
        <v>16</v>
      </c>
      <c r="B17" s="7">
        <f>B16-B15</f>
        <v>499.79999999999927</v>
      </c>
      <c r="C17" s="7">
        <f>C16-C15</f>
        <v>499.79999999999927</v>
      </c>
    </row>
    <row r="19" spans="1:4">
      <c r="A19" s="3" t="s">
        <v>17</v>
      </c>
    </row>
    <row r="20" spans="1:4">
      <c r="A20" s="17" t="s">
        <v>18</v>
      </c>
      <c r="B20" s="16"/>
      <c r="C20" s="16"/>
      <c r="D20" s="16"/>
    </row>
    <row r="21" spans="1:4">
      <c r="A21" s="17" t="s">
        <v>19</v>
      </c>
      <c r="B21" s="16"/>
      <c r="C21" s="16"/>
      <c r="D21" s="16"/>
    </row>
    <row r="22" spans="1:4">
      <c r="A22" s="17" t="s">
        <v>20</v>
      </c>
      <c r="B22" s="16"/>
      <c r="C22" s="16"/>
      <c r="D22" s="16"/>
    </row>
    <row r="23" spans="1:4">
      <c r="A23" s="17" t="s">
        <v>21</v>
      </c>
      <c r="B23" s="16"/>
      <c r="C23" s="16"/>
      <c r="D23" s="16"/>
    </row>
    <row r="24" spans="1:4">
      <c r="A24" s="17" t="s">
        <v>22</v>
      </c>
      <c r="B24" s="16"/>
      <c r="C24" s="16"/>
      <c r="D24" s="16"/>
    </row>
  </sheetData>
  <mergeCells count="6">
    <mergeCell ref="A24:D24"/>
    <mergeCell ref="A1:D1"/>
    <mergeCell ref="A23:D23"/>
    <mergeCell ref="A22:D22"/>
    <mergeCell ref="A20:D20"/>
    <mergeCell ref="A21:D21"/>
  </mergeCells>
  <dataValidations count="2">
    <dataValidation type="list" sqref="B3" xr:uid="{00000000-0002-0000-0000-000000000000}">
      <formula1>"tagpap,eternit_b7"</formula1>
    </dataValidation>
    <dataValidation type="list" sqref="B4" xr:uid="{00000000-0002-0000-0000-000001000000}">
      <formula1>"klink,board_on_board"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" customWidth="1"/>
    <col min="2" max="2" width="50" customWidth="1"/>
    <col min="3" max="4" width="8" customWidth="1"/>
    <col min="5" max="5" width="16" customWidth="1"/>
    <col min="6" max="6" width="14" customWidth="1"/>
    <col min="7" max="7" width="22" customWidth="1"/>
    <col min="8" max="8" width="60" customWidth="1"/>
  </cols>
  <sheetData>
    <row r="1" spans="1:8">
      <c r="A1" s="8" t="s">
        <v>23</v>
      </c>
      <c r="B1" s="8" t="s">
        <v>24</v>
      </c>
      <c r="C1" s="8" t="s">
        <v>25</v>
      </c>
      <c r="D1" s="8" t="s">
        <v>26</v>
      </c>
      <c r="E1" s="8" t="s">
        <v>27</v>
      </c>
      <c r="F1" s="8" t="s">
        <v>28</v>
      </c>
      <c r="G1" s="8" t="s">
        <v>29</v>
      </c>
      <c r="H1" s="8" t="s">
        <v>17</v>
      </c>
    </row>
    <row r="2" spans="1:8">
      <c r="A2" s="9" t="s">
        <v>6</v>
      </c>
      <c r="B2" s="10" t="s">
        <v>30</v>
      </c>
      <c r="C2" s="10">
        <v>1050</v>
      </c>
      <c r="D2" s="10" t="s">
        <v>31</v>
      </c>
      <c r="E2" s="11">
        <v>0.55000000000000004</v>
      </c>
      <c r="F2" s="11">
        <f t="shared" ref="F2:F8" si="0">C2*E2</f>
        <v>577.5</v>
      </c>
      <c r="G2" s="10" t="s">
        <v>32</v>
      </c>
      <c r="H2" s="10" t="s">
        <v>33</v>
      </c>
    </row>
    <row r="3" spans="1:8">
      <c r="A3" s="12" t="s">
        <v>6</v>
      </c>
      <c r="B3" s="10" t="s">
        <v>34</v>
      </c>
      <c r="C3" s="10">
        <v>120</v>
      </c>
      <c r="D3" s="10" t="s">
        <v>35</v>
      </c>
      <c r="E3" s="11">
        <v>15.75</v>
      </c>
      <c r="F3" s="11">
        <f t="shared" si="0"/>
        <v>1890</v>
      </c>
      <c r="G3" s="10" t="s">
        <v>36</v>
      </c>
      <c r="H3" s="10" t="s">
        <v>37</v>
      </c>
    </row>
    <row r="4" spans="1:8">
      <c r="A4" s="12" t="s">
        <v>6</v>
      </c>
      <c r="B4" s="10" t="s">
        <v>38</v>
      </c>
      <c r="C4" s="10">
        <v>13</v>
      </c>
      <c r="D4" s="10" t="s">
        <v>35</v>
      </c>
      <c r="E4" s="11">
        <v>29.75</v>
      </c>
      <c r="F4" s="11">
        <f t="shared" si="0"/>
        <v>386.75</v>
      </c>
      <c r="G4" s="10" t="s">
        <v>36</v>
      </c>
      <c r="H4" s="10" t="s">
        <v>39</v>
      </c>
    </row>
    <row r="5" spans="1:8">
      <c r="A5" s="12" t="s">
        <v>6</v>
      </c>
      <c r="B5" s="10" t="s">
        <v>40</v>
      </c>
      <c r="C5" s="10">
        <v>14</v>
      </c>
      <c r="D5" s="10" t="s">
        <v>35</v>
      </c>
      <c r="E5" s="11">
        <v>75</v>
      </c>
      <c r="F5" s="11">
        <f t="shared" si="0"/>
        <v>1050</v>
      </c>
      <c r="G5" s="10" t="s">
        <v>36</v>
      </c>
      <c r="H5" s="10" t="s">
        <v>41</v>
      </c>
    </row>
    <row r="6" spans="1:8">
      <c r="A6" s="12" t="s">
        <v>6</v>
      </c>
      <c r="B6" s="10" t="s">
        <v>42</v>
      </c>
      <c r="C6" s="10">
        <v>1485</v>
      </c>
      <c r="D6" s="10" t="s">
        <v>31</v>
      </c>
      <c r="E6" s="11">
        <v>0.66</v>
      </c>
      <c r="F6" s="11">
        <f t="shared" si="0"/>
        <v>980.1</v>
      </c>
      <c r="G6" s="10" t="s">
        <v>32</v>
      </c>
      <c r="H6" s="10" t="s">
        <v>43</v>
      </c>
    </row>
    <row r="7" spans="1:8">
      <c r="A7" s="12" t="s">
        <v>6</v>
      </c>
      <c r="B7" s="10" t="s">
        <v>44</v>
      </c>
      <c r="C7" s="10">
        <v>18</v>
      </c>
      <c r="D7" s="10" t="s">
        <v>35</v>
      </c>
      <c r="E7" s="11">
        <v>27.95</v>
      </c>
      <c r="F7" s="11">
        <f t="shared" si="0"/>
        <v>503.09999999999997</v>
      </c>
      <c r="G7" s="10" t="s">
        <v>36</v>
      </c>
      <c r="H7" s="10" t="s">
        <v>45</v>
      </c>
    </row>
    <row r="8" spans="1:8">
      <c r="A8" s="12" t="s">
        <v>6</v>
      </c>
      <c r="B8" s="10" t="s">
        <v>46</v>
      </c>
      <c r="C8" s="10">
        <v>2</v>
      </c>
      <c r="D8" s="10" t="s">
        <v>47</v>
      </c>
      <c r="E8" s="11">
        <v>28.95</v>
      </c>
      <c r="F8" s="11">
        <f t="shared" si="0"/>
        <v>57.9</v>
      </c>
      <c r="G8" s="10" t="s">
        <v>36</v>
      </c>
      <c r="H8" s="10" t="s">
        <v>48</v>
      </c>
    </row>
    <row r="9" spans="1:8">
      <c r="E9" s="2"/>
      <c r="F9" s="2"/>
    </row>
    <row r="10" spans="1:8">
      <c r="A10" s="10"/>
      <c r="B10" s="10"/>
      <c r="C10" s="10"/>
      <c r="D10" s="10"/>
      <c r="E10" s="13" t="s">
        <v>49</v>
      </c>
      <c r="F10" s="11"/>
      <c r="G10" s="10"/>
      <c r="H10" s="14">
        <f>SUM(F2:F8)</f>
        <v>5445.35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" customWidth="1"/>
    <col min="2" max="2" width="50" customWidth="1"/>
    <col min="3" max="4" width="8" customWidth="1"/>
    <col min="5" max="5" width="16" customWidth="1"/>
    <col min="6" max="6" width="14" customWidth="1"/>
    <col min="7" max="7" width="22" customWidth="1"/>
    <col min="8" max="8" width="60" customWidth="1"/>
  </cols>
  <sheetData>
    <row r="1" spans="1:8">
      <c r="A1" s="8" t="s">
        <v>23</v>
      </c>
      <c r="B1" s="8" t="s">
        <v>24</v>
      </c>
      <c r="C1" s="8" t="s">
        <v>25</v>
      </c>
      <c r="D1" s="8" t="s">
        <v>26</v>
      </c>
      <c r="E1" s="8" t="s">
        <v>27</v>
      </c>
      <c r="F1" s="8" t="s">
        <v>28</v>
      </c>
      <c r="G1" s="8" t="s">
        <v>29</v>
      </c>
      <c r="H1" s="8" t="s">
        <v>17</v>
      </c>
    </row>
    <row r="2" spans="1:8">
      <c r="A2" s="9" t="s">
        <v>7</v>
      </c>
      <c r="B2" s="10" t="s">
        <v>50</v>
      </c>
      <c r="C2" s="10">
        <v>1</v>
      </c>
      <c r="D2" s="10" t="s">
        <v>35</v>
      </c>
      <c r="E2" s="11">
        <v>99</v>
      </c>
      <c r="F2" s="11">
        <f>C2*E2</f>
        <v>99</v>
      </c>
      <c r="G2" s="10" t="s">
        <v>36</v>
      </c>
      <c r="H2" s="10" t="s">
        <v>51</v>
      </c>
    </row>
    <row r="3" spans="1:8">
      <c r="A3" s="12" t="s">
        <v>7</v>
      </c>
      <c r="B3" s="10" t="s">
        <v>52</v>
      </c>
      <c r="C3" s="10">
        <v>2</v>
      </c>
      <c r="D3" s="10" t="s">
        <v>35</v>
      </c>
      <c r="E3" s="11">
        <v>71.099999999999994</v>
      </c>
      <c r="F3" s="11">
        <f>C3*E3</f>
        <v>142.19999999999999</v>
      </c>
      <c r="G3" s="10" t="s">
        <v>36</v>
      </c>
      <c r="H3" s="10"/>
    </row>
    <row r="4" spans="1:8">
      <c r="A4" s="12" t="s">
        <v>7</v>
      </c>
      <c r="B4" s="10" t="s">
        <v>53</v>
      </c>
      <c r="C4" s="10">
        <v>5</v>
      </c>
      <c r="D4" s="10" t="s">
        <v>35</v>
      </c>
      <c r="E4" s="11">
        <v>47.4</v>
      </c>
      <c r="F4" s="11">
        <f>C4*E4</f>
        <v>237</v>
      </c>
      <c r="G4" s="10" t="s">
        <v>36</v>
      </c>
      <c r="H4" s="10"/>
    </row>
    <row r="5" spans="1:8">
      <c r="A5" s="12" t="s">
        <v>7</v>
      </c>
      <c r="B5" s="10" t="s">
        <v>54</v>
      </c>
      <c r="C5" s="10">
        <v>4</v>
      </c>
      <c r="D5" s="10" t="s">
        <v>35</v>
      </c>
      <c r="E5" s="11">
        <v>63.9</v>
      </c>
      <c r="F5" s="11">
        <f>C5*E5</f>
        <v>255.6</v>
      </c>
      <c r="G5" s="10" t="s">
        <v>36</v>
      </c>
      <c r="H5" s="10"/>
    </row>
    <row r="6" spans="1:8">
      <c r="A6" s="12" t="s">
        <v>7</v>
      </c>
      <c r="B6" s="10" t="s">
        <v>55</v>
      </c>
      <c r="C6" s="10">
        <v>42</v>
      </c>
      <c r="D6" s="10" t="s">
        <v>35</v>
      </c>
      <c r="E6" s="11">
        <v>42.6</v>
      </c>
      <c r="F6" s="11">
        <f>C6*E6</f>
        <v>1789.2</v>
      </c>
      <c r="G6" s="10" t="s">
        <v>36</v>
      </c>
      <c r="H6" s="10" t="s">
        <v>56</v>
      </c>
    </row>
    <row r="7" spans="1:8">
      <c r="E7" s="2"/>
      <c r="F7" s="2"/>
    </row>
    <row r="8" spans="1:8">
      <c r="A8" s="10"/>
      <c r="B8" s="10"/>
      <c r="C8" s="10"/>
      <c r="D8" s="10"/>
      <c r="E8" s="13" t="s">
        <v>49</v>
      </c>
      <c r="F8" s="11"/>
      <c r="G8" s="10"/>
      <c r="H8" s="14">
        <f>SUM(F2:F6)</f>
        <v>2523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" customWidth="1"/>
    <col min="2" max="2" width="50" customWidth="1"/>
    <col min="3" max="4" width="8" customWidth="1"/>
    <col min="5" max="5" width="16" customWidth="1"/>
    <col min="6" max="6" width="14" customWidth="1"/>
    <col min="7" max="7" width="22" customWidth="1"/>
    <col min="8" max="8" width="60" customWidth="1"/>
  </cols>
  <sheetData>
    <row r="1" spans="1:8">
      <c r="A1" s="8" t="s">
        <v>23</v>
      </c>
      <c r="B1" s="8" t="s">
        <v>24</v>
      </c>
      <c r="C1" s="8" t="s">
        <v>25</v>
      </c>
      <c r="D1" s="8" t="s">
        <v>26</v>
      </c>
      <c r="E1" s="8" t="s">
        <v>27</v>
      </c>
      <c r="F1" s="8" t="s">
        <v>28</v>
      </c>
      <c r="G1" s="8" t="s">
        <v>29</v>
      </c>
      <c r="H1" s="8" t="s">
        <v>17</v>
      </c>
    </row>
    <row r="2" spans="1:8">
      <c r="A2" s="9" t="s">
        <v>57</v>
      </c>
      <c r="B2" s="10" t="s">
        <v>58</v>
      </c>
      <c r="C2" s="10">
        <v>13</v>
      </c>
      <c r="D2" s="10" t="s">
        <v>35</v>
      </c>
      <c r="E2" s="11">
        <v>53.25</v>
      </c>
      <c r="F2" s="11">
        <f>C2*E2</f>
        <v>692.25</v>
      </c>
      <c r="G2" s="10" t="s">
        <v>36</v>
      </c>
      <c r="H2" s="10"/>
    </row>
    <row r="3" spans="1:8">
      <c r="A3" s="12" t="s">
        <v>57</v>
      </c>
      <c r="B3" s="10" t="s">
        <v>59</v>
      </c>
      <c r="C3" s="10">
        <v>15</v>
      </c>
      <c r="D3" s="10" t="s">
        <v>35</v>
      </c>
      <c r="E3" s="11">
        <v>129</v>
      </c>
      <c r="F3" s="11">
        <f>C3*E3</f>
        <v>1935</v>
      </c>
      <c r="G3" s="10" t="s">
        <v>36</v>
      </c>
      <c r="H3" s="10" t="s">
        <v>60</v>
      </c>
    </row>
    <row r="4" spans="1:8">
      <c r="A4" s="12" t="s">
        <v>57</v>
      </c>
      <c r="B4" s="10" t="s">
        <v>61</v>
      </c>
      <c r="C4" s="10">
        <v>6</v>
      </c>
      <c r="D4" s="10" t="s">
        <v>35</v>
      </c>
      <c r="E4" s="11">
        <v>92.7</v>
      </c>
      <c r="F4" s="11">
        <f>C4*E4</f>
        <v>556.20000000000005</v>
      </c>
      <c r="G4" s="10" t="s">
        <v>36</v>
      </c>
      <c r="H4" s="10" t="s">
        <v>62</v>
      </c>
    </row>
    <row r="5" spans="1:8">
      <c r="E5" s="2"/>
      <c r="F5" s="2"/>
    </row>
    <row r="6" spans="1:8">
      <c r="A6" s="9" t="s">
        <v>63</v>
      </c>
      <c r="B6" s="10" t="s">
        <v>64</v>
      </c>
      <c r="C6" s="10">
        <v>5</v>
      </c>
      <c r="D6" s="10" t="s">
        <v>35</v>
      </c>
      <c r="E6" s="11">
        <v>579</v>
      </c>
      <c r="F6" s="11">
        <f>C6*E6</f>
        <v>2895</v>
      </c>
      <c r="G6" s="10" t="s">
        <v>36</v>
      </c>
      <c r="H6" s="10"/>
    </row>
    <row r="7" spans="1:8">
      <c r="A7" s="12" t="s">
        <v>63</v>
      </c>
      <c r="B7" s="10" t="s">
        <v>65</v>
      </c>
      <c r="C7" s="10">
        <v>3</v>
      </c>
      <c r="D7" s="10" t="s">
        <v>35</v>
      </c>
      <c r="E7" s="11">
        <v>69.95</v>
      </c>
      <c r="F7" s="11">
        <f>C7*E7</f>
        <v>209.85000000000002</v>
      </c>
      <c r="G7" s="10" t="s">
        <v>36</v>
      </c>
      <c r="H7" s="10"/>
    </row>
    <row r="8" spans="1:8">
      <c r="A8" s="12" t="s">
        <v>63</v>
      </c>
      <c r="B8" s="10" t="s">
        <v>66</v>
      </c>
      <c r="C8" s="10">
        <v>1</v>
      </c>
      <c r="D8" s="10" t="s">
        <v>35</v>
      </c>
      <c r="E8" s="11">
        <v>149</v>
      </c>
      <c r="F8" s="11">
        <f>C8*E8</f>
        <v>149</v>
      </c>
      <c r="G8" s="10" t="s">
        <v>36</v>
      </c>
      <c r="H8" s="10"/>
    </row>
    <row r="9" spans="1:8">
      <c r="E9" s="2"/>
      <c r="F9" s="2"/>
    </row>
    <row r="10" spans="1:8">
      <c r="A10" s="9" t="s">
        <v>67</v>
      </c>
      <c r="B10" s="10" t="s">
        <v>68</v>
      </c>
      <c r="C10" s="10">
        <v>7</v>
      </c>
      <c r="D10" s="10" t="s">
        <v>35</v>
      </c>
      <c r="E10" s="11">
        <v>39.75</v>
      </c>
      <c r="F10" s="11">
        <f>C10*E10</f>
        <v>278.25</v>
      </c>
      <c r="G10" s="10" t="s">
        <v>36</v>
      </c>
      <c r="H10" s="10"/>
    </row>
    <row r="11" spans="1:8">
      <c r="A11" s="12" t="s">
        <v>67</v>
      </c>
      <c r="B11" s="10" t="s">
        <v>69</v>
      </c>
      <c r="C11" s="10">
        <v>13</v>
      </c>
      <c r="D11" s="10" t="s">
        <v>35</v>
      </c>
      <c r="E11" s="11">
        <v>59.95</v>
      </c>
      <c r="F11" s="11">
        <f>C11*E11</f>
        <v>779.35</v>
      </c>
      <c r="G11" s="10" t="s">
        <v>36</v>
      </c>
      <c r="H11" s="10"/>
    </row>
    <row r="12" spans="1:8">
      <c r="E12" s="2"/>
      <c r="F12" s="2"/>
    </row>
    <row r="13" spans="1:8">
      <c r="A13" s="9" t="s">
        <v>70</v>
      </c>
      <c r="B13" s="10" t="s">
        <v>71</v>
      </c>
      <c r="C13" s="10">
        <v>7</v>
      </c>
      <c r="D13" s="10" t="s">
        <v>72</v>
      </c>
      <c r="E13" s="11">
        <v>49.95</v>
      </c>
      <c r="F13" s="11">
        <f t="shared" ref="F13:F20" si="0">C13*E13</f>
        <v>349.65000000000003</v>
      </c>
      <c r="G13" s="10" t="s">
        <v>36</v>
      </c>
      <c r="H13" s="10"/>
    </row>
    <row r="14" spans="1:8">
      <c r="A14" s="12" t="s">
        <v>70</v>
      </c>
      <c r="B14" s="10" t="s">
        <v>73</v>
      </c>
      <c r="C14" s="10">
        <v>10</v>
      </c>
      <c r="D14" s="10" t="s">
        <v>35</v>
      </c>
      <c r="E14" s="11">
        <v>24.95</v>
      </c>
      <c r="F14" s="11">
        <f t="shared" si="0"/>
        <v>249.5</v>
      </c>
      <c r="G14" s="10" t="s">
        <v>36</v>
      </c>
      <c r="H14" s="10" t="s">
        <v>74</v>
      </c>
    </row>
    <row r="15" spans="1:8">
      <c r="A15" s="12" t="s">
        <v>70</v>
      </c>
      <c r="B15" s="10" t="s">
        <v>75</v>
      </c>
      <c r="C15" s="10">
        <v>1</v>
      </c>
      <c r="D15" s="10" t="s">
        <v>35</v>
      </c>
      <c r="E15" s="11">
        <v>46.75</v>
      </c>
      <c r="F15" s="11">
        <f t="shared" si="0"/>
        <v>46.75</v>
      </c>
      <c r="G15" s="10" t="s">
        <v>36</v>
      </c>
      <c r="H15" s="10"/>
    </row>
    <row r="16" spans="1:8">
      <c r="A16" s="12" t="s">
        <v>70</v>
      </c>
      <c r="B16" s="10" t="s">
        <v>76</v>
      </c>
      <c r="C16" s="10">
        <v>2</v>
      </c>
      <c r="D16" s="10" t="s">
        <v>35</v>
      </c>
      <c r="E16" s="11">
        <v>43.75</v>
      </c>
      <c r="F16" s="11">
        <f t="shared" si="0"/>
        <v>87.5</v>
      </c>
      <c r="G16" s="10" t="s">
        <v>36</v>
      </c>
      <c r="H16" s="10"/>
    </row>
    <row r="17" spans="1:8">
      <c r="A17" s="12" t="s">
        <v>70</v>
      </c>
      <c r="B17" s="10" t="s">
        <v>77</v>
      </c>
      <c r="C17" s="10">
        <v>1</v>
      </c>
      <c r="D17" s="10" t="s">
        <v>35</v>
      </c>
      <c r="E17" s="11">
        <v>19.95</v>
      </c>
      <c r="F17" s="11">
        <f t="shared" si="0"/>
        <v>19.95</v>
      </c>
      <c r="G17" s="10" t="s">
        <v>36</v>
      </c>
      <c r="H17" s="10"/>
    </row>
    <row r="18" spans="1:8">
      <c r="A18" s="12" t="s">
        <v>70</v>
      </c>
      <c r="B18" s="10" t="s">
        <v>78</v>
      </c>
      <c r="C18" s="10">
        <v>1</v>
      </c>
      <c r="D18" s="10" t="s">
        <v>35</v>
      </c>
      <c r="E18" s="11">
        <v>210</v>
      </c>
      <c r="F18" s="11">
        <f t="shared" si="0"/>
        <v>210</v>
      </c>
      <c r="G18" s="10" t="s">
        <v>36</v>
      </c>
      <c r="H18" s="10" t="s">
        <v>79</v>
      </c>
    </row>
    <row r="19" spans="1:8">
      <c r="A19" s="12" t="s">
        <v>70</v>
      </c>
      <c r="B19" s="10" t="s">
        <v>80</v>
      </c>
      <c r="C19" s="10">
        <v>1</v>
      </c>
      <c r="D19" s="10" t="s">
        <v>35</v>
      </c>
      <c r="E19" s="11">
        <v>78.75</v>
      </c>
      <c r="F19" s="11">
        <f t="shared" si="0"/>
        <v>78.75</v>
      </c>
      <c r="G19" s="10" t="s">
        <v>36</v>
      </c>
      <c r="H19" s="10"/>
    </row>
    <row r="20" spans="1:8">
      <c r="A20" s="12" t="s">
        <v>70</v>
      </c>
      <c r="B20" s="10" t="s">
        <v>81</v>
      </c>
      <c r="C20" s="10">
        <v>1</v>
      </c>
      <c r="D20" s="10" t="s">
        <v>35</v>
      </c>
      <c r="E20" s="11">
        <v>105</v>
      </c>
      <c r="F20" s="11">
        <f t="shared" si="0"/>
        <v>105</v>
      </c>
      <c r="G20" s="10" t="s">
        <v>36</v>
      </c>
      <c r="H20" s="10" t="s">
        <v>82</v>
      </c>
    </row>
    <row r="21" spans="1:8">
      <c r="E21" s="2"/>
      <c r="F21" s="2"/>
    </row>
    <row r="22" spans="1:8">
      <c r="A22" s="9" t="s">
        <v>83</v>
      </c>
      <c r="B22" s="10" t="s">
        <v>84</v>
      </c>
      <c r="C22" s="10">
        <v>3</v>
      </c>
      <c r="D22" s="10" t="s">
        <v>85</v>
      </c>
      <c r="E22" s="11">
        <v>150</v>
      </c>
      <c r="F22" s="11">
        <f>C22*E22</f>
        <v>450</v>
      </c>
      <c r="G22" s="10" t="s">
        <v>86</v>
      </c>
      <c r="H22" s="10" t="s">
        <v>87</v>
      </c>
    </row>
    <row r="23" spans="1:8">
      <c r="A23" s="12" t="s">
        <v>83</v>
      </c>
      <c r="B23" s="10" t="s">
        <v>88</v>
      </c>
      <c r="C23" s="10">
        <v>250</v>
      </c>
      <c r="D23" s="10" t="s">
        <v>35</v>
      </c>
      <c r="E23" s="11">
        <v>0.4</v>
      </c>
      <c r="F23" s="11">
        <f>C23*E23</f>
        <v>100</v>
      </c>
      <c r="G23" s="10" t="s">
        <v>36</v>
      </c>
      <c r="H23" s="10"/>
    </row>
    <row r="24" spans="1:8">
      <c r="A24" s="12" t="s">
        <v>83</v>
      </c>
      <c r="B24" s="10" t="s">
        <v>89</v>
      </c>
      <c r="C24" s="10">
        <v>1</v>
      </c>
      <c r="D24" s="10" t="s">
        <v>47</v>
      </c>
      <c r="E24" s="11">
        <v>69.95</v>
      </c>
      <c r="F24" s="11">
        <f>C24*E24</f>
        <v>69.95</v>
      </c>
      <c r="G24" s="10" t="s">
        <v>36</v>
      </c>
      <c r="H24" s="10"/>
    </row>
    <row r="25" spans="1:8">
      <c r="E25" s="2"/>
      <c r="F25" s="2"/>
    </row>
    <row r="26" spans="1:8">
      <c r="A26" s="10"/>
      <c r="B26" s="10"/>
      <c r="C26" s="10"/>
      <c r="D26" s="10"/>
      <c r="E26" s="13" t="s">
        <v>49</v>
      </c>
      <c r="F26" s="11"/>
      <c r="G26" s="10"/>
      <c r="H26" s="14">
        <f>SUM(F2:F24)</f>
        <v>9261.9500000000007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" customWidth="1"/>
    <col min="2" max="2" width="50" customWidth="1"/>
    <col min="3" max="4" width="8" customWidth="1"/>
    <col min="5" max="5" width="16" customWidth="1"/>
    <col min="6" max="6" width="14" customWidth="1"/>
    <col min="7" max="7" width="22" customWidth="1"/>
    <col min="8" max="8" width="60" customWidth="1"/>
  </cols>
  <sheetData>
    <row r="1" spans="1:8">
      <c r="A1" s="8" t="s">
        <v>23</v>
      </c>
      <c r="B1" s="8" t="s">
        <v>24</v>
      </c>
      <c r="C1" s="8" t="s">
        <v>25</v>
      </c>
      <c r="D1" s="8" t="s">
        <v>26</v>
      </c>
      <c r="E1" s="8" t="s">
        <v>27</v>
      </c>
      <c r="F1" s="8" t="s">
        <v>28</v>
      </c>
      <c r="G1" s="8" t="s">
        <v>29</v>
      </c>
      <c r="H1" s="8" t="s">
        <v>17</v>
      </c>
    </row>
    <row r="2" spans="1:8">
      <c r="A2" s="9" t="s">
        <v>57</v>
      </c>
      <c r="B2" s="10" t="s">
        <v>90</v>
      </c>
      <c r="C2" s="10">
        <v>13</v>
      </c>
      <c r="D2" s="10" t="s">
        <v>35</v>
      </c>
      <c r="E2" s="11">
        <v>85</v>
      </c>
      <c r="F2" s="11">
        <f>C2*E2</f>
        <v>1105</v>
      </c>
      <c r="G2" s="10" t="s">
        <v>91</v>
      </c>
      <c r="H2" s="10" t="s">
        <v>92</v>
      </c>
    </row>
    <row r="3" spans="1:8">
      <c r="A3" s="12" t="s">
        <v>57</v>
      </c>
      <c r="B3" s="10" t="s">
        <v>93</v>
      </c>
      <c r="C3" s="10">
        <v>11</v>
      </c>
      <c r="D3" s="10" t="s">
        <v>35</v>
      </c>
      <c r="E3" s="11">
        <v>52.5</v>
      </c>
      <c r="F3" s="11">
        <f>C3*E3</f>
        <v>577.5</v>
      </c>
      <c r="G3" s="10" t="s">
        <v>94</v>
      </c>
      <c r="H3" s="10" t="s">
        <v>95</v>
      </c>
    </row>
    <row r="4" spans="1:8">
      <c r="A4" s="12" t="s">
        <v>57</v>
      </c>
      <c r="B4" s="10" t="s">
        <v>96</v>
      </c>
      <c r="C4" s="10">
        <v>6</v>
      </c>
      <c r="D4" s="10" t="s">
        <v>35</v>
      </c>
      <c r="E4" s="11">
        <v>82.6</v>
      </c>
      <c r="F4" s="11">
        <f>C4*E4</f>
        <v>495.59999999999997</v>
      </c>
      <c r="G4" s="10" t="s">
        <v>97</v>
      </c>
      <c r="H4" s="10" t="s">
        <v>98</v>
      </c>
    </row>
    <row r="5" spans="1:8">
      <c r="E5" s="2"/>
      <c r="F5" s="2"/>
    </row>
    <row r="6" spans="1:8">
      <c r="A6" s="9" t="s">
        <v>63</v>
      </c>
      <c r="B6" s="10" t="s">
        <v>99</v>
      </c>
      <c r="C6" s="10">
        <v>52</v>
      </c>
      <c r="D6" s="10" t="s">
        <v>35</v>
      </c>
      <c r="E6" s="11">
        <v>95</v>
      </c>
      <c r="F6" s="11">
        <f>C6*E6</f>
        <v>4940</v>
      </c>
      <c r="G6" s="10" t="s">
        <v>100</v>
      </c>
      <c r="H6" s="10" t="s">
        <v>101</v>
      </c>
    </row>
    <row r="7" spans="1:8">
      <c r="A7" s="12" t="s">
        <v>63</v>
      </c>
      <c r="B7" s="10" t="s">
        <v>102</v>
      </c>
      <c r="C7" s="10">
        <v>2</v>
      </c>
      <c r="D7" s="10" t="s">
        <v>85</v>
      </c>
      <c r="E7" s="11">
        <v>425</v>
      </c>
      <c r="F7" s="11">
        <f>C7*E7</f>
        <v>850</v>
      </c>
      <c r="G7" s="10" t="s">
        <v>103</v>
      </c>
      <c r="H7" s="10" t="s">
        <v>104</v>
      </c>
    </row>
    <row r="8" spans="1:8">
      <c r="A8" s="12" t="s">
        <v>63</v>
      </c>
      <c r="B8" s="10" t="s">
        <v>105</v>
      </c>
      <c r="C8" s="10">
        <v>1</v>
      </c>
      <c r="D8" s="10" t="s">
        <v>106</v>
      </c>
      <c r="E8" s="11">
        <v>150</v>
      </c>
      <c r="F8" s="11">
        <f>C8*E8</f>
        <v>150</v>
      </c>
      <c r="G8" s="10" t="s">
        <v>107</v>
      </c>
      <c r="H8" s="10" t="s">
        <v>108</v>
      </c>
    </row>
    <row r="9" spans="1:8">
      <c r="E9" s="2"/>
      <c r="F9" s="2"/>
    </row>
    <row r="10" spans="1:8">
      <c r="A10" s="9" t="s">
        <v>70</v>
      </c>
      <c r="B10" s="10" t="s">
        <v>71</v>
      </c>
      <c r="C10" s="10">
        <v>7</v>
      </c>
      <c r="D10" s="10" t="s">
        <v>72</v>
      </c>
      <c r="E10" s="11">
        <v>49.95</v>
      </c>
      <c r="F10" s="11">
        <f t="shared" ref="F10:F15" si="0">C10*E10</f>
        <v>349.65000000000003</v>
      </c>
      <c r="G10" s="10" t="s">
        <v>36</v>
      </c>
      <c r="H10" s="10"/>
    </row>
    <row r="11" spans="1:8">
      <c r="A11" s="12" t="s">
        <v>70</v>
      </c>
      <c r="B11" s="10" t="s">
        <v>109</v>
      </c>
      <c r="C11" s="10">
        <v>12</v>
      </c>
      <c r="D11" s="10" t="s">
        <v>35</v>
      </c>
      <c r="E11" s="11">
        <v>30</v>
      </c>
      <c r="F11" s="11">
        <f t="shared" si="0"/>
        <v>360</v>
      </c>
      <c r="G11" s="10" t="s">
        <v>36</v>
      </c>
      <c r="H11" s="10" t="s">
        <v>74</v>
      </c>
    </row>
    <row r="12" spans="1:8">
      <c r="A12" s="12" t="s">
        <v>70</v>
      </c>
      <c r="B12" s="10" t="s">
        <v>76</v>
      </c>
      <c r="C12" s="10">
        <v>2</v>
      </c>
      <c r="D12" s="10" t="s">
        <v>35</v>
      </c>
      <c r="E12" s="11">
        <v>50</v>
      </c>
      <c r="F12" s="11">
        <f t="shared" si="0"/>
        <v>100</v>
      </c>
      <c r="G12" s="10" t="s">
        <v>36</v>
      </c>
      <c r="H12" s="10"/>
    </row>
    <row r="13" spans="1:8">
      <c r="A13" s="12" t="s">
        <v>70</v>
      </c>
      <c r="B13" s="10" t="s">
        <v>110</v>
      </c>
      <c r="C13" s="10">
        <v>1</v>
      </c>
      <c r="D13" s="10" t="s">
        <v>35</v>
      </c>
      <c r="E13" s="11">
        <v>80</v>
      </c>
      <c r="F13" s="11">
        <f t="shared" si="0"/>
        <v>80</v>
      </c>
      <c r="G13" s="10" t="s">
        <v>36</v>
      </c>
      <c r="H13" s="10"/>
    </row>
    <row r="14" spans="1:8">
      <c r="A14" s="12" t="s">
        <v>70</v>
      </c>
      <c r="B14" s="10" t="s">
        <v>78</v>
      </c>
      <c r="C14" s="10">
        <v>1</v>
      </c>
      <c r="D14" s="10" t="s">
        <v>35</v>
      </c>
      <c r="E14" s="11">
        <v>200</v>
      </c>
      <c r="F14" s="11">
        <f t="shared" si="0"/>
        <v>200</v>
      </c>
      <c r="G14" s="10" t="s">
        <v>36</v>
      </c>
      <c r="H14" s="10"/>
    </row>
    <row r="15" spans="1:8">
      <c r="A15" s="12" t="s">
        <v>70</v>
      </c>
      <c r="B15" s="10" t="s">
        <v>111</v>
      </c>
      <c r="C15" s="10">
        <v>2</v>
      </c>
      <c r="D15" s="10" t="s">
        <v>35</v>
      </c>
      <c r="E15" s="11">
        <v>80</v>
      </c>
      <c r="F15" s="11">
        <f t="shared" si="0"/>
        <v>160</v>
      </c>
      <c r="G15" s="10" t="s">
        <v>36</v>
      </c>
      <c r="H15" s="10"/>
    </row>
    <row r="16" spans="1:8">
      <c r="E16" s="2"/>
      <c r="F16" s="2"/>
    </row>
    <row r="17" spans="1:8">
      <c r="A17" s="9" t="s">
        <v>83</v>
      </c>
      <c r="B17" s="10" t="s">
        <v>84</v>
      </c>
      <c r="C17" s="10">
        <v>3</v>
      </c>
      <c r="D17" s="10" t="s">
        <v>85</v>
      </c>
      <c r="E17" s="11">
        <v>150</v>
      </c>
      <c r="F17" s="11">
        <f>C17*E17</f>
        <v>450</v>
      </c>
      <c r="G17" s="10" t="s">
        <v>86</v>
      </c>
      <c r="H17" s="10"/>
    </row>
    <row r="18" spans="1:8">
      <c r="A18" s="12" t="s">
        <v>83</v>
      </c>
      <c r="B18" s="10" t="s">
        <v>112</v>
      </c>
      <c r="C18" s="10">
        <v>1</v>
      </c>
      <c r="D18" s="10" t="s">
        <v>47</v>
      </c>
      <c r="E18" s="11">
        <v>120</v>
      </c>
      <c r="F18" s="11">
        <f>C18*E18</f>
        <v>120</v>
      </c>
      <c r="G18" s="10" t="s">
        <v>36</v>
      </c>
      <c r="H18" s="10" t="s">
        <v>113</v>
      </c>
    </row>
    <row r="19" spans="1:8">
      <c r="E19" s="2"/>
      <c r="F19" s="2"/>
    </row>
    <row r="20" spans="1:8">
      <c r="A20" s="10"/>
      <c r="B20" s="10"/>
      <c r="C20" s="10"/>
      <c r="D20" s="10"/>
      <c r="E20" s="13" t="s">
        <v>49</v>
      </c>
      <c r="F20" s="11"/>
      <c r="G20" s="10"/>
      <c r="H20" s="14">
        <f>SUM(F2:F18)</f>
        <v>9937.75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" customWidth="1"/>
    <col min="2" max="2" width="50" customWidth="1"/>
    <col min="3" max="4" width="8" customWidth="1"/>
    <col min="5" max="5" width="16" customWidth="1"/>
    <col min="6" max="6" width="14" customWidth="1"/>
    <col min="7" max="7" width="22" customWidth="1"/>
    <col min="8" max="8" width="60" customWidth="1"/>
  </cols>
  <sheetData>
    <row r="1" spans="1:8">
      <c r="A1" s="8" t="s">
        <v>23</v>
      </c>
      <c r="B1" s="8" t="s">
        <v>24</v>
      </c>
      <c r="C1" s="8" t="s">
        <v>25</v>
      </c>
      <c r="D1" s="8" t="s">
        <v>26</v>
      </c>
      <c r="E1" s="8" t="s">
        <v>27</v>
      </c>
      <c r="F1" s="8" t="s">
        <v>28</v>
      </c>
      <c r="G1" s="8" t="s">
        <v>29</v>
      </c>
      <c r="H1" s="8" t="s">
        <v>17</v>
      </c>
    </row>
    <row r="2" spans="1:8">
      <c r="A2" s="9" t="s">
        <v>9</v>
      </c>
      <c r="B2" s="10" t="s">
        <v>114</v>
      </c>
      <c r="C2" s="10">
        <v>6</v>
      </c>
      <c r="D2" s="10" t="s">
        <v>85</v>
      </c>
      <c r="E2" s="11">
        <v>497.7</v>
      </c>
      <c r="F2" s="11">
        <f>C2*E2</f>
        <v>2986.2</v>
      </c>
      <c r="G2" s="10" t="s">
        <v>36</v>
      </c>
      <c r="H2" s="10" t="s">
        <v>115</v>
      </c>
    </row>
    <row r="3" spans="1:8">
      <c r="A3" s="12" t="s">
        <v>9</v>
      </c>
      <c r="B3" s="10" t="s">
        <v>116</v>
      </c>
      <c r="C3" s="10">
        <v>4</v>
      </c>
      <c r="D3" s="10" t="s">
        <v>35</v>
      </c>
      <c r="E3" s="11">
        <v>29.25</v>
      </c>
      <c r="F3" s="11">
        <f>C3*E3</f>
        <v>117</v>
      </c>
      <c r="G3" s="10" t="s">
        <v>36</v>
      </c>
      <c r="H3" s="10" t="s">
        <v>117</v>
      </c>
    </row>
    <row r="4" spans="1:8">
      <c r="A4" s="12" t="s">
        <v>9</v>
      </c>
      <c r="B4" s="10" t="s">
        <v>118</v>
      </c>
      <c r="C4" s="10">
        <v>1</v>
      </c>
      <c r="D4" s="10" t="s">
        <v>106</v>
      </c>
      <c r="E4" s="11">
        <v>299</v>
      </c>
      <c r="F4" s="11">
        <f>C4*E4</f>
        <v>299</v>
      </c>
      <c r="G4" s="10" t="s">
        <v>36</v>
      </c>
      <c r="H4" s="10" t="s">
        <v>119</v>
      </c>
    </row>
    <row r="5" spans="1:8">
      <c r="A5" s="12" t="s">
        <v>9</v>
      </c>
      <c r="B5" s="10" t="s">
        <v>120</v>
      </c>
      <c r="C5" s="10">
        <v>10</v>
      </c>
      <c r="D5" s="10" t="s">
        <v>35</v>
      </c>
      <c r="E5" s="11">
        <v>28.35</v>
      </c>
      <c r="F5" s="11">
        <f>C5*E5</f>
        <v>283.5</v>
      </c>
      <c r="G5" s="10" t="s">
        <v>36</v>
      </c>
      <c r="H5" s="10" t="s">
        <v>121</v>
      </c>
    </row>
    <row r="6" spans="1:8">
      <c r="A6" s="12" t="s">
        <v>9</v>
      </c>
      <c r="B6" s="10" t="s">
        <v>122</v>
      </c>
      <c r="C6" s="10">
        <v>20</v>
      </c>
      <c r="D6" s="10" t="s">
        <v>123</v>
      </c>
      <c r="E6" s="11">
        <v>29.61</v>
      </c>
      <c r="F6" s="11">
        <f>C6*E6</f>
        <v>592.20000000000005</v>
      </c>
      <c r="G6" s="10" t="s">
        <v>36</v>
      </c>
      <c r="H6" s="10" t="s">
        <v>124</v>
      </c>
    </row>
    <row r="7" spans="1:8">
      <c r="E7" s="2"/>
      <c r="F7" s="2"/>
    </row>
    <row r="8" spans="1:8">
      <c r="A8" s="9" t="s">
        <v>125</v>
      </c>
      <c r="B8" s="10" t="s">
        <v>126</v>
      </c>
      <c r="C8" s="10">
        <v>2</v>
      </c>
      <c r="D8" s="10" t="s">
        <v>35</v>
      </c>
      <c r="E8" s="11">
        <v>1350</v>
      </c>
      <c r="F8" s="11">
        <f>C8*E8</f>
        <v>2700</v>
      </c>
      <c r="G8" s="10" t="s">
        <v>36</v>
      </c>
      <c r="H8" s="10" t="s">
        <v>127</v>
      </c>
    </row>
    <row r="9" spans="1:8">
      <c r="A9" s="12" t="s">
        <v>125</v>
      </c>
      <c r="B9" s="10" t="s">
        <v>128</v>
      </c>
      <c r="C9" s="10">
        <v>2</v>
      </c>
      <c r="D9" s="10" t="s">
        <v>47</v>
      </c>
      <c r="E9" s="11">
        <v>89</v>
      </c>
      <c r="F9" s="11">
        <f>C9*E9</f>
        <v>178</v>
      </c>
      <c r="G9" s="10" t="s">
        <v>36</v>
      </c>
      <c r="H9" s="10" t="s">
        <v>129</v>
      </c>
    </row>
    <row r="10" spans="1:8">
      <c r="E10" s="2"/>
      <c r="F10" s="2"/>
    </row>
    <row r="11" spans="1:8">
      <c r="A11" s="10"/>
      <c r="B11" s="10"/>
      <c r="C11" s="10"/>
      <c r="D11" s="10"/>
      <c r="E11" s="13" t="s">
        <v>49</v>
      </c>
      <c r="F11" s="11"/>
      <c r="G11" s="10"/>
      <c r="H11" s="14">
        <f>SUM(F2:F9)</f>
        <v>7155.9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" customWidth="1"/>
    <col min="2" max="2" width="50" customWidth="1"/>
    <col min="3" max="4" width="8" customWidth="1"/>
    <col min="5" max="5" width="16" customWidth="1"/>
    <col min="6" max="6" width="14" customWidth="1"/>
    <col min="7" max="7" width="22" customWidth="1"/>
    <col min="8" max="8" width="60" customWidth="1"/>
  </cols>
  <sheetData>
    <row r="1" spans="1:8">
      <c r="A1" s="8" t="s">
        <v>23</v>
      </c>
      <c r="B1" s="8" t="s">
        <v>24</v>
      </c>
      <c r="C1" s="8" t="s">
        <v>25</v>
      </c>
      <c r="D1" s="8" t="s">
        <v>26</v>
      </c>
      <c r="E1" s="8" t="s">
        <v>27</v>
      </c>
      <c r="F1" s="8" t="s">
        <v>28</v>
      </c>
      <c r="G1" s="8" t="s">
        <v>29</v>
      </c>
      <c r="H1" s="8" t="s">
        <v>17</v>
      </c>
    </row>
    <row r="2" spans="1:8">
      <c r="A2" s="9" t="s">
        <v>9</v>
      </c>
      <c r="B2" s="10" t="s">
        <v>130</v>
      </c>
      <c r="C2" s="10">
        <v>16</v>
      </c>
      <c r="D2" s="10" t="s">
        <v>123</v>
      </c>
      <c r="E2" s="11">
        <v>160</v>
      </c>
      <c r="F2" s="11">
        <f t="shared" ref="F2:F8" si="0">C2*E2</f>
        <v>2560</v>
      </c>
      <c r="G2" s="10" t="s">
        <v>131</v>
      </c>
      <c r="H2" s="10" t="s">
        <v>132</v>
      </c>
    </row>
    <row r="3" spans="1:8">
      <c r="A3" s="12" t="s">
        <v>9</v>
      </c>
      <c r="B3" s="10" t="s">
        <v>133</v>
      </c>
      <c r="C3" s="10">
        <v>3</v>
      </c>
      <c r="D3" s="10" t="s">
        <v>134</v>
      </c>
      <c r="E3" s="11">
        <v>149</v>
      </c>
      <c r="F3" s="11">
        <f t="shared" si="0"/>
        <v>447</v>
      </c>
      <c r="G3" s="10" t="s">
        <v>36</v>
      </c>
      <c r="H3" s="10" t="s">
        <v>135</v>
      </c>
    </row>
    <row r="4" spans="1:8">
      <c r="A4" s="12" t="s">
        <v>9</v>
      </c>
      <c r="B4" s="10" t="s">
        <v>136</v>
      </c>
      <c r="C4" s="10">
        <v>4</v>
      </c>
      <c r="D4" s="10" t="s">
        <v>35</v>
      </c>
      <c r="E4" s="11">
        <v>49.5</v>
      </c>
      <c r="F4" s="11">
        <f t="shared" si="0"/>
        <v>198</v>
      </c>
      <c r="G4" s="10" t="s">
        <v>36</v>
      </c>
      <c r="H4" s="10" t="s">
        <v>137</v>
      </c>
    </row>
    <row r="5" spans="1:8">
      <c r="A5" s="12" t="s">
        <v>9</v>
      </c>
      <c r="B5" s="10" t="s">
        <v>118</v>
      </c>
      <c r="C5" s="10">
        <v>1</v>
      </c>
      <c r="D5" s="10" t="s">
        <v>106</v>
      </c>
      <c r="E5" s="11">
        <v>299</v>
      </c>
      <c r="F5" s="11">
        <f t="shared" si="0"/>
        <v>299</v>
      </c>
      <c r="G5" s="10" t="s">
        <v>36</v>
      </c>
      <c r="H5" s="10" t="s">
        <v>138</v>
      </c>
    </row>
    <row r="6" spans="1:8">
      <c r="A6" s="12" t="s">
        <v>9</v>
      </c>
      <c r="B6" s="10" t="s">
        <v>120</v>
      </c>
      <c r="C6" s="10">
        <v>10</v>
      </c>
      <c r="D6" s="10" t="s">
        <v>35</v>
      </c>
      <c r="E6" s="11">
        <v>28.35</v>
      </c>
      <c r="F6" s="11">
        <f t="shared" si="0"/>
        <v>283.5</v>
      </c>
      <c r="G6" s="10" t="s">
        <v>36</v>
      </c>
      <c r="H6" s="10" t="s">
        <v>139</v>
      </c>
    </row>
    <row r="7" spans="1:8">
      <c r="A7" s="12" t="s">
        <v>9</v>
      </c>
      <c r="B7" s="10" t="s">
        <v>122</v>
      </c>
      <c r="C7" s="10">
        <v>20</v>
      </c>
      <c r="D7" s="10" t="s">
        <v>123</v>
      </c>
      <c r="E7" s="11">
        <v>29.61</v>
      </c>
      <c r="F7" s="11">
        <f t="shared" si="0"/>
        <v>592.20000000000005</v>
      </c>
      <c r="G7" s="10" t="s">
        <v>36</v>
      </c>
      <c r="H7" s="10" t="s">
        <v>140</v>
      </c>
    </row>
    <row r="8" spans="1:8">
      <c r="A8" s="12" t="s">
        <v>9</v>
      </c>
      <c r="B8" s="10" t="s">
        <v>141</v>
      </c>
      <c r="C8" s="10">
        <v>2</v>
      </c>
      <c r="D8" s="10" t="s">
        <v>47</v>
      </c>
      <c r="E8" s="11">
        <v>199</v>
      </c>
      <c r="F8" s="11">
        <f t="shared" si="0"/>
        <v>398</v>
      </c>
      <c r="G8" s="10" t="s">
        <v>36</v>
      </c>
      <c r="H8" s="10" t="s">
        <v>142</v>
      </c>
    </row>
    <row r="9" spans="1:8">
      <c r="E9" s="2"/>
      <c r="F9" s="2"/>
    </row>
    <row r="10" spans="1:8">
      <c r="A10" s="9" t="s">
        <v>125</v>
      </c>
      <c r="B10" s="10" t="s">
        <v>126</v>
      </c>
      <c r="C10" s="10">
        <v>2</v>
      </c>
      <c r="D10" s="10" t="s">
        <v>35</v>
      </c>
      <c r="E10" s="11">
        <v>1350</v>
      </c>
      <c r="F10" s="11">
        <f>C10*E10</f>
        <v>2700</v>
      </c>
      <c r="G10" s="10" t="s">
        <v>36</v>
      </c>
      <c r="H10" s="10" t="s">
        <v>127</v>
      </c>
    </row>
    <row r="11" spans="1:8">
      <c r="A11" s="12" t="s">
        <v>125</v>
      </c>
      <c r="B11" s="10" t="s">
        <v>128</v>
      </c>
      <c r="C11" s="10">
        <v>2</v>
      </c>
      <c r="D11" s="10" t="s">
        <v>47</v>
      </c>
      <c r="E11" s="11">
        <v>89</v>
      </c>
      <c r="F11" s="11">
        <f>C11*E11</f>
        <v>178</v>
      </c>
      <c r="G11" s="10" t="s">
        <v>36</v>
      </c>
      <c r="H11" s="10"/>
    </row>
    <row r="12" spans="1:8">
      <c r="E12" s="2"/>
      <c r="F12" s="2"/>
    </row>
    <row r="13" spans="1:8">
      <c r="A13" s="10"/>
      <c r="B13" s="10"/>
      <c r="C13" s="10"/>
      <c r="D13" s="10"/>
      <c r="E13" s="13" t="s">
        <v>49</v>
      </c>
      <c r="F13" s="11"/>
      <c r="G13" s="10"/>
      <c r="H13" s="14">
        <f>SUM(F2:F11)</f>
        <v>7655.7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7</vt:i4>
      </vt:variant>
    </vt:vector>
  </HeadingPairs>
  <TitlesOfParts>
    <vt:vector size="7" baseType="lpstr">
      <vt:lpstr>summary</vt:lpstr>
      <vt:lpstr>fundament</vt:lpstr>
      <vt:lpstr>konstruktion</vt:lpstr>
      <vt:lpstr>tagkonstruktion_tagpap</vt:lpstr>
      <vt:lpstr>tagkonstruktion_eternit_b7</vt:lpstr>
      <vt:lpstr>beklaedning_klink</vt:lpstr>
      <vt:lpstr>beklaedning_board_on_board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Kasper Baun (Context&amp;)</dc:creator>
  <cp:lastModifiedBy>Kasper Baun (Context&amp;)</cp:lastModifiedBy>
  <dcterms:created xsi:type="dcterms:W3CDTF">2026-05-10T11:05:45Z</dcterms:created>
  <dcterms:modified xsi:type="dcterms:W3CDTF">2026-05-12T20:41:26Z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0x01010053414DE94637BA41B16756DFE4B8D2B8</vt:lpwstr>
  </property>
</Properties>
</file>