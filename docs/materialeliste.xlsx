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privat\rabbit-house\docs\v3\"/>
    </mc:Choice>
  </mc:AlternateContent>
  <xr:revisionPtr revIDLastSave="0" documentId="13_ncr:1_{742AF6E6-A45B-4CBE-BC3D-46955AB120BD}" xr6:coauthVersionLast="47" xr6:coauthVersionMax="47" xr10:uidLastSave="{00000000-0000-0000-0000-000000000000}"/>
  <bookViews>
    <workbookView xWindow="3495" yWindow="810" windowWidth="34095" windowHeight="18300" xr2:uid="{5334E723-DA25-4B94-9819-AB5A8FEA0E43}"/>
  </bookViews>
  <sheets>
    <sheet name="materialeliste" sheetId="1" r:id="rId1"/>
    <sheet name="tagkonstruktion_tagpa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1" l="1"/>
  <c r="M6" i="1"/>
  <c r="F52" i="1"/>
  <c r="F51" i="1"/>
  <c r="F54" i="1"/>
  <c r="F50" i="1"/>
  <c r="F53" i="1"/>
  <c r="F45" i="1"/>
  <c r="F39" i="1"/>
  <c r="M5" i="1" s="1"/>
  <c r="F38" i="1"/>
  <c r="F37" i="1"/>
  <c r="F36" i="1"/>
  <c r="F35" i="1"/>
  <c r="F34" i="1"/>
  <c r="F33" i="1"/>
  <c r="F32" i="1"/>
  <c r="F29" i="1"/>
  <c r="F28" i="1"/>
  <c r="F25" i="1"/>
  <c r="F24" i="1"/>
  <c r="F23" i="1"/>
  <c r="F20" i="1"/>
  <c r="F19" i="1"/>
  <c r="F18" i="1"/>
  <c r="F26" i="2"/>
  <c r="F23" i="2"/>
  <c r="F20" i="2"/>
  <c r="F22" i="2"/>
  <c r="F21" i="2"/>
  <c r="F19" i="2"/>
  <c r="F25" i="2"/>
  <c r="F24" i="2"/>
  <c r="F32" i="2"/>
  <c r="F6" i="2"/>
  <c r="F12" i="2"/>
  <c r="F15" i="2"/>
  <c r="F11" i="2"/>
  <c r="F10" i="2"/>
  <c r="F16" i="2"/>
  <c r="F7" i="2"/>
  <c r="F5" i="2"/>
  <c r="F7" i="1"/>
  <c r="F8" i="1"/>
  <c r="F14" i="1"/>
  <c r="F13" i="1"/>
  <c r="F12" i="1"/>
  <c r="F11" i="1"/>
  <c r="F10" i="1"/>
  <c r="F5" i="1"/>
  <c r="F4" i="1"/>
  <c r="F6" i="1"/>
  <c r="F3" i="1"/>
  <c r="F2" i="1"/>
  <c r="M3" i="1" l="1"/>
  <c r="M4" i="1"/>
</calcChain>
</file>

<file path=xl/sharedStrings.xml><?xml version="1.0" encoding="utf-8"?>
<sst xmlns="http://schemas.openxmlformats.org/spreadsheetml/2006/main" count="321" uniqueCount="101">
  <si>
    <t>Kategori</t>
  </si>
  <si>
    <t>Vare</t>
  </si>
  <si>
    <t>Antal</t>
  </si>
  <si>
    <t>Enhed</t>
  </si>
  <si>
    <t>Pris pr. enhed (DKK)</t>
  </si>
  <si>
    <t>I alt (DKK)</t>
  </si>
  <si>
    <t>Noter</t>
  </si>
  <si>
    <t>Fundament</t>
  </si>
  <si>
    <t>Stabilgrus 0-32 mm</t>
  </si>
  <si>
    <t>stk</t>
  </si>
  <si>
    <t>Cement 25 kg</t>
  </si>
  <si>
    <t>Leverandør</t>
  </si>
  <si>
    <t>ca. 0,6 m³, 1.750 kg. pr. m³, (0,55 kr. pr. kg.)</t>
  </si>
  <si>
    <t>kg</t>
  </si>
  <si>
    <t>materialepladsen.dk</t>
  </si>
  <si>
    <t>Behov for 117 stk. Køber 120 så der er lidt til over til behov. Vi har 82 stk. nu.</t>
  </si>
  <si>
    <t>jemogfix.dk</t>
  </si>
  <si>
    <t>ca. 0,9 m³, 1.650 kg. pr. m³, (0,66 kr. pr. kg.)</t>
  </si>
  <si>
    <t>Armeringsjern</t>
  </si>
  <si>
    <t>Ø-8 mm 3 meter længde</t>
  </si>
  <si>
    <t>1:4 blandingsforhold. 25kg ~ 18 L</t>
  </si>
  <si>
    <t>Prisoverslag</t>
  </si>
  <si>
    <t>Konstruktion</t>
  </si>
  <si>
    <t>Murpap</t>
  </si>
  <si>
    <t xml:space="preserve">11 cm * 20 meter </t>
  </si>
  <si>
    <t>Bundrem</t>
  </si>
  <si>
    <t>Toprem</t>
  </si>
  <si>
    <t>Reglar</t>
  </si>
  <si>
    <t>Reglar 45 x 95 x 3600 mm PT NTR-AB</t>
  </si>
  <si>
    <t>Reglar 45 x 95 x 2400 mm PT NTR-AB</t>
  </si>
  <si>
    <t>Reglar 47 x 100 x 3600 mm Gran C24</t>
  </si>
  <si>
    <t>Reglar 47 x 100 x 2400 mm Gran C24</t>
  </si>
  <si>
    <t>Tagkonstruktion</t>
  </si>
  <si>
    <t>Spær</t>
  </si>
  <si>
    <t>Tagrende</t>
  </si>
  <si>
    <t>Tagpap</t>
  </si>
  <si>
    <t>OSB-plader</t>
  </si>
  <si>
    <t>Beklædning</t>
  </si>
  <si>
    <t>Voliernet</t>
  </si>
  <si>
    <t>Klinkbeklædning</t>
  </si>
  <si>
    <t>Vindpap</t>
  </si>
  <si>
    <t>Klemmelister</t>
  </si>
  <si>
    <t>Isolering</t>
  </si>
  <si>
    <t>m</t>
  </si>
  <si>
    <t>Sternbræt</t>
  </si>
  <si>
    <t>Støbemix 0-16 mm</t>
  </si>
  <si>
    <t>Fundablok 50x20x15 cm</t>
  </si>
  <si>
    <t>Vinkelbeslag</t>
  </si>
  <si>
    <t>11*4 + 2*2</t>
  </si>
  <si>
    <t>Gevindstang M10</t>
  </si>
  <si>
    <t>Gevindstang M10 x 1000 mm</t>
  </si>
  <si>
    <t>M10 møtrikker</t>
  </si>
  <si>
    <t>pk.</t>
  </si>
  <si>
    <t>NKT Fasteners møtrik M10 12 stk.</t>
  </si>
  <si>
    <t>Tagfod</t>
  </si>
  <si>
    <t>Tagfod sort aluminium 55 x 80 x 1000 mm</t>
  </si>
  <si>
    <t>Murpap til Tagfod</t>
  </si>
  <si>
    <t>Phønix murpap 15 cm x 20 meter</t>
  </si>
  <si>
    <t>Alusøm 2,6 x 25 mm - 100 stk.</t>
  </si>
  <si>
    <t>Træværk</t>
  </si>
  <si>
    <t>21x120x3600 mm gran. Hele perimeter 19 m</t>
  </si>
  <si>
    <t>Tagdækning</t>
  </si>
  <si>
    <t>Phønix Selvbyggerpap 1×5 m</t>
  </si>
  <si>
    <t>Klæbeasfalt</t>
  </si>
  <si>
    <t>Phønix klæbeasfalt 310 ml</t>
  </si>
  <si>
    <t>Aluinddækning</t>
  </si>
  <si>
    <t>Vandhåndtering</t>
  </si>
  <si>
    <t>Reglar 45x95x3000 mm Gran C24</t>
  </si>
  <si>
    <t>OSB-3 plade TG4 18 mm - 2397 x 600 mm</t>
  </si>
  <si>
    <t>Sternkapsel</t>
  </si>
  <si>
    <t>Sternkapsel lige sort 35 x 25 mm x 100 cm</t>
  </si>
  <si>
    <t>Tagrende-beslag</t>
  </si>
  <si>
    <t>Endebund tagrende 110 mm</t>
  </si>
  <si>
    <t>Bladsamler</t>
  </si>
  <si>
    <t>Nedløbsrør</t>
  </si>
  <si>
    <t>Nedløbsbøjning</t>
  </si>
  <si>
    <t>Beslag og fastgørelse</t>
  </si>
  <si>
    <t>OSB/spær-skruer 5x80mm</t>
  </si>
  <si>
    <t>Rustfri tagskruer m. EPDM-pakning</t>
  </si>
  <si>
    <t>Galvaniseret tagpapsøm</t>
  </si>
  <si>
    <t>Ø75 mm x 3 m. Fra tagrende ned til faldsten. Stål</t>
  </si>
  <si>
    <t>Anvendes til at dreje nedløbsrøret ind til væggen. Vinkel: 70 gr.</t>
  </si>
  <si>
    <t>4+3 meter</t>
  </si>
  <si>
    <t>Samlestykke</t>
  </si>
  <si>
    <t>Endebund til at lukke Rodena tagrender af i både højre og venstre side. Lavet af stål i farven silver metallic</t>
  </si>
  <si>
    <t>Anvendes til at samle to tagrender i længderetningen. Stål</t>
  </si>
  <si>
    <t>Konsoljern stål, 90 grader. Anvendes til at holde tagrenden.</t>
  </si>
  <si>
    <t>Anvendes til at sætte i tudstykket for at forhindre at blade og små kviste skal glide ned i nedløbsrøret</t>
  </si>
  <si>
    <t>Tudstykke</t>
  </si>
  <si>
    <t>Anvendes til at koble nedløbsrøret til tagrenden. Ø75 mm. Silver metallic stål</t>
  </si>
  <si>
    <t>1x 10 meter og 1x 25 meter</t>
  </si>
  <si>
    <t>Klamper til Voliernet</t>
  </si>
  <si>
    <t>Hjørnetrim</t>
  </si>
  <si>
    <t>45x45 mm x 2400 mm</t>
  </si>
  <si>
    <t>Sortmalet klinkbeklædning lavet af gran. Mål: 25 x 125 mm - høvlet mål: 9/22 x 105 mm og med en længde på 4,2 meter. Pakke á 6 stk.</t>
  </si>
  <si>
    <t>m2</t>
  </si>
  <si>
    <t>2 vægge á ~6m2. 2 vægge á ~4m2.</t>
  </si>
  <si>
    <t>rl.</t>
  </si>
  <si>
    <t>17,5 m^2 behov. 20 m2 pr. rulle.</t>
  </si>
  <si>
    <t>25x50 mm x 4200 mm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</si>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</sst>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kr.-406]_-;\-* #,##0.00\ [$kr.-406]_-;_-* &quot;-&quot;??\ [$kr.-406]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5">
    <xf numFmtId="0" fontId="0" fillId="0" borderId="0" xfId="0"/>
    <xf numFmtId="49" fontId="4" fillId="6" borderId="10" xfId="3" applyNumberForma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0" borderId="10" xfId="19" applyBorder="1" applyAlignment="1">
      <alignment horizontal="center" vertical="center"/>
    </xf>
    <xf numFmtId="0" fontId="18" fillId="0" borderId="10" xfId="42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3" fillId="0" borderId="1" xfId="2"/>
    <xf numFmtId="0" fontId="1" fillId="14" borderId="10" xfId="23" applyBorder="1" applyAlignment="1">
      <alignment horizontal="center" vertical="center"/>
    </xf>
    <xf numFmtId="0" fontId="1" fillId="18" borderId="10" xfId="27" applyBorder="1" applyAlignment="1">
      <alignment horizontal="center" vertical="center"/>
    </xf>
    <xf numFmtId="0" fontId="0" fillId="26" borderId="10" xfId="35" applyFont="1" applyBorder="1" applyAlignment="1">
      <alignment horizontal="center" vertical="center"/>
    </xf>
    <xf numFmtId="0" fontId="0" fillId="10" borderId="10" xfId="19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0" fillId="0" borderId="10" xfId="0" applyBorder="1"/>
    <xf numFmtId="164" fontId="16" fillId="0" borderId="10" xfId="0" applyNumberFormat="1" applyFont="1" applyBorder="1" applyAlignment="1">
      <alignment horizontal="center" vertical="center"/>
    </xf>
  </cellXfs>
  <cellStyles count="43">
    <cellStyle name="20 % - Farve1" xfId="19" builtinId="30" customBuiltin="1"/>
    <cellStyle name="20 % - Farve2" xfId="23" builtinId="34" customBuiltin="1"/>
    <cellStyle name="20 % - Farve3" xfId="27" builtinId="38" customBuiltin="1"/>
    <cellStyle name="20 % - Farve4" xfId="31" builtinId="42" customBuiltin="1"/>
    <cellStyle name="20 % - Farve5" xfId="35" builtinId="46" customBuiltin="1"/>
    <cellStyle name="20 % - Farve6" xfId="39" builtinId="50" customBuiltin="1"/>
    <cellStyle name="40 % - Farve1" xfId="20" builtinId="31" customBuiltin="1"/>
    <cellStyle name="40 % - Farve2" xfId="24" builtinId="35" customBuiltin="1"/>
    <cellStyle name="40 % - Farve3" xfId="28" builtinId="39" customBuiltin="1"/>
    <cellStyle name="40 % - Farve4" xfId="32" builtinId="43" customBuiltin="1"/>
    <cellStyle name="40 % - Farve5" xfId="36" builtinId="47" customBuiltin="1"/>
    <cellStyle name="40 % - Farve6" xfId="40" builtinId="51" customBuiltin="1"/>
    <cellStyle name="60 % - Farve1" xfId="21" builtinId="32" customBuiltin="1"/>
    <cellStyle name="60 % - Farve2" xfId="25" builtinId="36" customBuiltin="1"/>
    <cellStyle name="60 % - Farve3" xfId="29" builtinId="40" customBuiltin="1"/>
    <cellStyle name="60 % - Farve4" xfId="33" builtinId="44" customBuiltin="1"/>
    <cellStyle name="60 % - Farve5" xfId="37" builtinId="48" customBuiltin="1"/>
    <cellStyle name="60 % - Farve6" xfId="41" builtinId="52" customBuiltin="1"/>
    <cellStyle name="Advarselstekst" xfId="14" builtinId="11" customBuiltin="1"/>
    <cellStyle name="Bemærk!" xfId="15" builtinId="10" customBuiltin="1"/>
    <cellStyle name="Beregning" xfId="11" builtinId="22" customBuiltin="1"/>
    <cellStyle name="Farve1" xfId="18" builtinId="29" customBuiltin="1"/>
    <cellStyle name="Farve2" xfId="22" builtinId="33" customBuiltin="1"/>
    <cellStyle name="Farve3" xfId="26" builtinId="37" customBuiltin="1"/>
    <cellStyle name="Farve4" xfId="30" builtinId="41" customBuiltin="1"/>
    <cellStyle name="Farve5" xfId="34" builtinId="45" customBuiltin="1"/>
    <cellStyle name="Farve6" xfId="38" builtinId="49" customBuiltin="1"/>
    <cellStyle name="Forklarende tekst" xfId="16" builtinId="53" customBuiltin="1"/>
    <cellStyle name="God" xfId="6" builtinId="26" customBuiltin="1"/>
    <cellStyle name="Input" xfId="9" builtinId="20" customBuiltin="1"/>
    <cellStyle name="Kontrollér celle" xfId="13" builtinId="23" customBuiltin="1"/>
    <cellStyle name="Link" xfId="42" builtinId="8"/>
    <cellStyle name="Neutral" xfId="8" builtinId="28" customBuiltin="1"/>
    <cellStyle name="Normal" xfId="0" builtinId="0"/>
    <cellStyle name="Output" xfId="10" builtinId="21" customBuiltin="1"/>
    <cellStyle name="Overskrift 1" xfId="2" builtinId="16" customBuiltin="1"/>
    <cellStyle name="Overskrift 2" xfId="3" builtinId="17" customBuiltin="1"/>
    <cellStyle name="Overskrift 3" xfId="4" builtinId="18" customBuiltin="1"/>
    <cellStyle name="Overskrift 4" xfId="5" builtinId="19" customBuiltin="1"/>
    <cellStyle name="Sammenkædet celle" xfId="12" builtinId="24" customBuiltin="1"/>
    <cellStyle name="Titel" xfId="1" builtinId="15" customBuiltin="1"/>
    <cellStyle name="Total" xfId="17" builtinId="25" customBuiltin="1"/>
    <cellStyle name="Ugyldig" xfId="7" builtinId="27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jemogfix.dk/reglar-47-x-100-x-3000-mm/4110/9057296/" TargetMode="External"/><Relationship Id="rId18" Type="http://schemas.openxmlformats.org/officeDocument/2006/relationships/hyperlink" Target="https://www.jemogfix.dk/phoenix-murpap-15-cm-x-20-meter/4210/9060998/" TargetMode="External"/><Relationship Id="rId26" Type="http://schemas.openxmlformats.org/officeDocument/2006/relationships/hyperlink" Target="https://www.jemogfix.dk/rodena-endebund-staal-hoejrevenstre/4203/9000603/" TargetMode="External"/><Relationship Id="rId3" Type="http://schemas.openxmlformats.org/officeDocument/2006/relationships/hyperlink" Target="https://materialepladsen.dk/produkter/grus/Stoebemix0-16mm" TargetMode="External"/><Relationship Id="rId21" Type="http://schemas.openxmlformats.org/officeDocument/2006/relationships/hyperlink" Target="https://www.jemogfix.dk/alusoem-2-6-x-25-mm-100-stk/4210/9038151/" TargetMode="External"/><Relationship Id="rId34" Type="http://schemas.openxmlformats.org/officeDocument/2006/relationships/hyperlink" Target="https://www.jemogfix.dk/impraegneret-forskalling-fyr-25-x-50-x-4200-mm/4310/9063674/" TargetMode="External"/><Relationship Id="rId7" Type="http://schemas.openxmlformats.org/officeDocument/2006/relationships/hyperlink" Target="https://www.jemogfix.dk/impraegneret-reglar-45-x-95-x-3600-mm/4310/9057360/" TargetMode="External"/><Relationship Id="rId12" Type="http://schemas.openxmlformats.org/officeDocument/2006/relationships/hyperlink" Target="https://www.jemogfix.dk/nkt-fasteners-moetrik-elforzinket-m10-12-stk/5118/9513052/" TargetMode="External"/><Relationship Id="rId17" Type="http://schemas.openxmlformats.org/officeDocument/2006/relationships/hyperlink" Target="https://www.jemogfix.dk/tagfod-sort-aluminium-55-x-80-x-1000-mm/4210/9058507/" TargetMode="External"/><Relationship Id="rId25" Type="http://schemas.openxmlformats.org/officeDocument/2006/relationships/hyperlink" Target="https://www.jemogfix.dk/samlestykke-staal/4203/9000604/" TargetMode="External"/><Relationship Id="rId33" Type="http://schemas.openxmlformats.org/officeDocument/2006/relationships/hyperlink" Target="https://www.jemogfix.dk/phoenix-isoleringspap-rf-650-1-0-x-20-meter/4210/9358237/" TargetMode="External"/><Relationship Id="rId2" Type="http://schemas.openxmlformats.org/officeDocument/2006/relationships/hyperlink" Target="https://www.jemogfix.dk/fundablok-graa-15-x-20-x-50-cm/4176/9033558/" TargetMode="External"/><Relationship Id="rId16" Type="http://schemas.openxmlformats.org/officeDocument/2006/relationships/hyperlink" Target="https://www.jemogfix.dk/phoenix-klaebeasfalt-310-ml/4211/9014391/" TargetMode="External"/><Relationship Id="rId20" Type="http://schemas.openxmlformats.org/officeDocument/2006/relationships/hyperlink" Target="https://www.jemogfix.dk/sternkapsel-lige-sort-35-x-25-mm-x-100-cm/4210/9062741/" TargetMode="External"/><Relationship Id="rId29" Type="http://schemas.openxmlformats.org/officeDocument/2006/relationships/hyperlink" Target="https://www.jemogfix.dk/tudstykke-staal-oe75-mm/4203/9000605/" TargetMode="External"/><Relationship Id="rId1" Type="http://schemas.openxmlformats.org/officeDocument/2006/relationships/hyperlink" Target="https://materialepladsen.dk/produkter/grus/Stabilgrus0-32mm" TargetMode="External"/><Relationship Id="rId6" Type="http://schemas.openxmlformats.org/officeDocument/2006/relationships/hyperlink" Target="https://www.jemogfix.dk/phoenix-murpap-11-cm-x-20-meter/4210/9036209/" TargetMode="External"/><Relationship Id="rId11" Type="http://schemas.openxmlformats.org/officeDocument/2006/relationships/hyperlink" Target="https://www.jemogfix.dk/nkt-fasteners-gevindstang-m10-x-1000-mm/5116/9711834/" TargetMode="External"/><Relationship Id="rId24" Type="http://schemas.openxmlformats.org/officeDocument/2006/relationships/hyperlink" Target="https://www.jemogfix.dk/staaltagrende-med-silver-metallic-4-meter/4203/9000602/" TargetMode="External"/><Relationship Id="rId32" Type="http://schemas.openxmlformats.org/officeDocument/2006/relationships/hyperlink" Target="https://www.jemogfix.dk/glasuld-isover-basic-ruller-95-mm/4180/9039070/" TargetMode="External"/><Relationship Id="rId5" Type="http://schemas.openxmlformats.org/officeDocument/2006/relationships/hyperlink" Target="https://www.jemogfix.dk/aalborg-portland-basis-aalborg-cement-25-kg/4170/9814769/" TargetMode="External"/><Relationship Id="rId15" Type="http://schemas.openxmlformats.org/officeDocument/2006/relationships/hyperlink" Target="https://www.jemogfix.dk/phoenix-selvbyggerpap-1-x-5-meter/4210/9021085/" TargetMode="External"/><Relationship Id="rId23" Type="http://schemas.openxmlformats.org/officeDocument/2006/relationships/hyperlink" Target="https://www.jemogfix.dk/rodena-boejning-70-gr-staal/4203/9000612/" TargetMode="External"/><Relationship Id="rId28" Type="http://schemas.openxmlformats.org/officeDocument/2006/relationships/hyperlink" Target="https://www.jemogfix.dk/bladsamler-i-plast-75-82-mm/4202/9711493/" TargetMode="External"/><Relationship Id="rId10" Type="http://schemas.openxmlformats.org/officeDocument/2006/relationships/hyperlink" Target="https://www.jemogfix.dk/reglar-47-x-100-x-2400-mm/4110/9057295/" TargetMode="External"/><Relationship Id="rId19" Type="http://schemas.openxmlformats.org/officeDocument/2006/relationships/hyperlink" Target="https://www.jemogfix.dk/osb-3-plade-tg4-18-mm-2397-x-600-mm/4138/9050213/" TargetMode="External"/><Relationship Id="rId31" Type="http://schemas.openxmlformats.org/officeDocument/2006/relationships/hyperlink" Target="https://www.jemogfix.dk/klinkbeklaedning-sortmalet/4115/9023155/" TargetMode="External"/><Relationship Id="rId4" Type="http://schemas.openxmlformats.org/officeDocument/2006/relationships/hyperlink" Target="https://www.jemogfix.dk/kamstaal-8-mm-x-3-meter/4164/9042660/" TargetMode="External"/><Relationship Id="rId9" Type="http://schemas.openxmlformats.org/officeDocument/2006/relationships/hyperlink" Target="https://www.jemogfix.dk/reglar-47-x-100-x-3600-mm/4110/9057297/" TargetMode="External"/><Relationship Id="rId14" Type="http://schemas.openxmlformats.org/officeDocument/2006/relationships/hyperlink" Target="https://www.jemogfix.dk/impraegneret-stern-mellem-21-x-120-x-3600-mm/4321/9057378/" TargetMode="External"/><Relationship Id="rId22" Type="http://schemas.openxmlformats.org/officeDocument/2006/relationships/hyperlink" Target="https://www.jemogfix.dk/nedloebsroer-staal-3-m/4203/9000611/" TargetMode="External"/><Relationship Id="rId27" Type="http://schemas.openxmlformats.org/officeDocument/2006/relationships/hyperlink" Target="https://www.jemogfix.dk/konsoljern-staal-90-grader/4203/9000608/" TargetMode="External"/><Relationship Id="rId30" Type="http://schemas.openxmlformats.org/officeDocument/2006/relationships/hyperlink" Target="https://www.jemogfix.dk/reglar-47-x-50-x-3000-mm/4110/9052623/" TargetMode="External"/><Relationship Id="rId35" Type="http://schemas.openxmlformats.org/officeDocument/2006/relationships/printerSettings" Target="../printerSettings/printerSettings1.bin"/><Relationship Id="rId8" Type="http://schemas.openxmlformats.org/officeDocument/2006/relationships/hyperlink" Target="https://www.jemogfix.dk/impraegneret-reglar-45-x-95-x-2400-mm/4310/9057358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sternkapsel-lige-sort-35-x-25-mm-x-100-cm/4210/9062741/" TargetMode="External"/><Relationship Id="rId13" Type="http://schemas.openxmlformats.org/officeDocument/2006/relationships/hyperlink" Target="https://www.jemogfix.dk/samlestykke-staal/4203/9000604/" TargetMode="External"/><Relationship Id="rId3" Type="http://schemas.openxmlformats.org/officeDocument/2006/relationships/hyperlink" Target="https://www.jemogfix.dk/phoenix-selvbyggerpap-1-x-5-meter/4210/9021085/" TargetMode="External"/><Relationship Id="rId7" Type="http://schemas.openxmlformats.org/officeDocument/2006/relationships/hyperlink" Target="https://www.jemogfix.dk/osb-3-plade-tg4-18-mm-2397-x-600-mm/4138/9050213/" TargetMode="External"/><Relationship Id="rId12" Type="http://schemas.openxmlformats.org/officeDocument/2006/relationships/hyperlink" Target="https://www.jemogfix.dk/staaltagrende-med-silver-metallic-4-meter/4203/9000602/" TargetMode="External"/><Relationship Id="rId17" Type="http://schemas.openxmlformats.org/officeDocument/2006/relationships/hyperlink" Target="https://www.jemogfix.dk/tudstykke-staal-oe75-mm/4203/9000605/" TargetMode="External"/><Relationship Id="rId2" Type="http://schemas.openxmlformats.org/officeDocument/2006/relationships/hyperlink" Target="https://www.jemogfix.dk/impraegneret-stern-mellem-21-x-120-x-3600-mm/4321/9057378/" TargetMode="External"/><Relationship Id="rId16" Type="http://schemas.openxmlformats.org/officeDocument/2006/relationships/hyperlink" Target="https://www.jemogfix.dk/bladsamler-i-plast-75-82-mm/4202/9711493/" TargetMode="External"/><Relationship Id="rId1" Type="http://schemas.openxmlformats.org/officeDocument/2006/relationships/hyperlink" Target="https://www.jemogfix.dk/reglar-47-x-100-x-3000-mm/4110/9057296/" TargetMode="External"/><Relationship Id="rId6" Type="http://schemas.openxmlformats.org/officeDocument/2006/relationships/hyperlink" Target="https://www.jemogfix.dk/phoenix-murpap-15-cm-x-20-meter/4210/9060998/" TargetMode="External"/><Relationship Id="rId11" Type="http://schemas.openxmlformats.org/officeDocument/2006/relationships/hyperlink" Target="https://www.jemogfix.dk/rodena-boejning-70-gr-staal/4203/9000612/" TargetMode="External"/><Relationship Id="rId5" Type="http://schemas.openxmlformats.org/officeDocument/2006/relationships/hyperlink" Target="https://www.jemogfix.dk/tagfod-sort-aluminium-55-x-80-x-1000-mm/4210/9058507/" TargetMode="External"/><Relationship Id="rId15" Type="http://schemas.openxmlformats.org/officeDocument/2006/relationships/hyperlink" Target="https://www.jemogfix.dk/konsoljern-staal-90-grader/4203/9000608/" TargetMode="External"/><Relationship Id="rId10" Type="http://schemas.openxmlformats.org/officeDocument/2006/relationships/hyperlink" Target="https://www.jemogfix.dk/nedloebsroer-staal-3-m/4203/9000611/" TargetMode="External"/><Relationship Id="rId4" Type="http://schemas.openxmlformats.org/officeDocument/2006/relationships/hyperlink" Target="https://www.jemogfix.dk/phoenix-klaebeasfalt-310-ml/4211/9014391/" TargetMode="External"/><Relationship Id="rId9" Type="http://schemas.openxmlformats.org/officeDocument/2006/relationships/hyperlink" Target="https://www.jemogfix.dk/alusoem-2-6-x-25-mm-100-stk/4210/9038151/" TargetMode="External"/><Relationship Id="rId14" Type="http://schemas.openxmlformats.org/officeDocument/2006/relationships/hyperlink" Target="https://www.jemogfix.dk/rodena-endebund-staal-hoejrevenstre/4203/900060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E8CE-734F-4C5C-A774-DE01A3B04B39}">
  <dimension ref="A1:M54"/>
  <sheetViews>
    <sheetView tabSelected="1" zoomScaleNormal="100" workbookViewId="0">
      <selection activeCell="H5" sqref="H5"/>
    </sheetView>
  </sheetViews>
  <sheetFormatPr defaultRowHeight="15" x14ac:dyDescent="0.25"/>
  <cols>
    <col min="1" max="1" width="15.42578125" style="3" bestFit="1" customWidth="1"/>
    <col min="2" max="2" width="35.5703125" style="3" bestFit="1" customWidth="1"/>
    <col min="3" max="3" width="6.42578125" style="3" bestFit="1" customWidth="1"/>
    <col min="4" max="4" width="7.7109375" style="3" bestFit="1" customWidth="1"/>
    <col min="5" max="5" width="22" style="3" bestFit="1" customWidth="1"/>
    <col min="6" max="6" width="12.28515625" style="3" bestFit="1" customWidth="1"/>
    <col min="7" max="7" width="19.5703125" style="3" bestFit="1" customWidth="1"/>
    <col min="8" max="8" width="119.7109375" style="3" bestFit="1" customWidth="1"/>
    <col min="9" max="11" width="9.140625" style="3"/>
    <col min="12" max="12" width="17" style="3" customWidth="1"/>
    <col min="13" max="13" width="13.42578125" style="3" bestFit="1" customWidth="1"/>
    <col min="14" max="16384" width="9.140625" style="3"/>
  </cols>
  <sheetData>
    <row r="1" spans="1:13" customFormat="1" ht="17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</v>
      </c>
      <c r="H1" s="1" t="s">
        <v>6</v>
      </c>
    </row>
    <row r="2" spans="1:13" ht="20.25" thickBot="1" x14ac:dyDescent="0.35">
      <c r="A2" s="4" t="s">
        <v>7</v>
      </c>
      <c r="B2" s="2" t="s">
        <v>8</v>
      </c>
      <c r="C2" s="2">
        <v>1050</v>
      </c>
      <c r="D2" s="2" t="s">
        <v>13</v>
      </c>
      <c r="E2" s="6">
        <v>0.55000000000000004</v>
      </c>
      <c r="F2" s="6">
        <f t="shared" ref="F2:F8" si="0">C2*E2</f>
        <v>577.5</v>
      </c>
      <c r="G2" s="5" t="s">
        <v>14</v>
      </c>
      <c r="H2" s="2" t="s">
        <v>12</v>
      </c>
      <c r="L2" s="7" t="s">
        <v>21</v>
      </c>
      <c r="M2"/>
    </row>
    <row r="3" spans="1:13" ht="15.75" thickTop="1" x14ac:dyDescent="0.25">
      <c r="A3" s="4" t="s">
        <v>7</v>
      </c>
      <c r="B3" s="2" t="s">
        <v>46</v>
      </c>
      <c r="C3" s="2">
        <v>120</v>
      </c>
      <c r="D3" s="2" t="s">
        <v>9</v>
      </c>
      <c r="E3" s="6">
        <v>15.75</v>
      </c>
      <c r="F3" s="6">
        <f t="shared" si="0"/>
        <v>1890</v>
      </c>
      <c r="G3" s="5" t="s">
        <v>16</v>
      </c>
      <c r="H3" s="2" t="s">
        <v>15</v>
      </c>
      <c r="L3" s="4" t="s">
        <v>7</v>
      </c>
      <c r="M3" s="6">
        <f>SUM(F2:F8)</f>
        <v>5445.35</v>
      </c>
    </row>
    <row r="4" spans="1:13" x14ac:dyDescent="0.25">
      <c r="A4" s="4" t="s">
        <v>7</v>
      </c>
      <c r="B4" s="2" t="s">
        <v>18</v>
      </c>
      <c r="C4" s="2">
        <v>13</v>
      </c>
      <c r="D4" s="2" t="s">
        <v>9</v>
      </c>
      <c r="E4" s="6">
        <v>29.75</v>
      </c>
      <c r="F4" s="6">
        <f t="shared" si="0"/>
        <v>386.75</v>
      </c>
      <c r="G4" s="5" t="s">
        <v>16</v>
      </c>
      <c r="H4" s="2" t="s">
        <v>19</v>
      </c>
      <c r="L4" s="8" t="s">
        <v>22</v>
      </c>
      <c r="M4" s="6">
        <f>SUM(F10:F14)</f>
        <v>2523</v>
      </c>
    </row>
    <row r="5" spans="1:13" x14ac:dyDescent="0.25">
      <c r="A5" s="4" t="s">
        <v>7</v>
      </c>
      <c r="B5" s="2" t="s">
        <v>10</v>
      </c>
      <c r="C5" s="2">
        <v>14</v>
      </c>
      <c r="D5" s="2" t="s">
        <v>9</v>
      </c>
      <c r="E5" s="6">
        <v>75</v>
      </c>
      <c r="F5" s="6">
        <f t="shared" si="0"/>
        <v>1050</v>
      </c>
      <c r="G5" s="5" t="s">
        <v>16</v>
      </c>
      <c r="H5" s="2" t="s">
        <v>20</v>
      </c>
      <c r="L5" s="9" t="s">
        <v>32</v>
      </c>
      <c r="M5" s="6">
        <f>SUM(F17:F45)</f>
        <v>8711.9500000000007</v>
      </c>
    </row>
    <row r="6" spans="1:13" x14ac:dyDescent="0.25">
      <c r="A6" s="4" t="s">
        <v>7</v>
      </c>
      <c r="B6" s="2" t="s">
        <v>45</v>
      </c>
      <c r="C6" s="2">
        <v>1485</v>
      </c>
      <c r="D6" s="2" t="s">
        <v>13</v>
      </c>
      <c r="E6" s="6">
        <v>0.66</v>
      </c>
      <c r="F6" s="6">
        <f t="shared" si="0"/>
        <v>980.1</v>
      </c>
      <c r="G6" s="5" t="s">
        <v>14</v>
      </c>
      <c r="H6" s="2" t="s">
        <v>17</v>
      </c>
      <c r="L6" s="10" t="s">
        <v>37</v>
      </c>
      <c r="M6" s="6">
        <f>SUM(F48:F54)</f>
        <v>5627.9</v>
      </c>
    </row>
    <row r="7" spans="1:13" x14ac:dyDescent="0.25">
      <c r="A7" s="11" t="s">
        <v>7</v>
      </c>
      <c r="B7" s="2" t="s">
        <v>49</v>
      </c>
      <c r="C7" s="2">
        <v>18</v>
      </c>
      <c r="D7" s="2" t="s">
        <v>9</v>
      </c>
      <c r="E7" s="6">
        <v>27.95</v>
      </c>
      <c r="F7" s="6">
        <f t="shared" si="0"/>
        <v>503.09999999999997</v>
      </c>
      <c r="G7" s="5" t="s">
        <v>16</v>
      </c>
      <c r="H7" s="2" t="s">
        <v>50</v>
      </c>
      <c r="L7" s="2"/>
      <c r="M7" s="2"/>
    </row>
    <row r="8" spans="1:13" x14ac:dyDescent="0.25">
      <c r="A8" s="11" t="s">
        <v>7</v>
      </c>
      <c r="B8" s="2" t="s">
        <v>51</v>
      </c>
      <c r="C8" s="2">
        <v>2</v>
      </c>
      <c r="D8" s="2" t="s">
        <v>52</v>
      </c>
      <c r="E8" s="6">
        <v>28.95</v>
      </c>
      <c r="F8" s="6">
        <f t="shared" si="0"/>
        <v>57.9</v>
      </c>
      <c r="G8" s="5" t="s">
        <v>16</v>
      </c>
      <c r="H8" s="2" t="s">
        <v>53</v>
      </c>
      <c r="L8" s="2"/>
      <c r="M8" s="2"/>
    </row>
    <row r="9" spans="1:13" x14ac:dyDescent="0.25">
      <c r="A9" s="2"/>
      <c r="B9" s="2"/>
      <c r="C9" s="2"/>
      <c r="D9" s="2"/>
      <c r="E9" s="2"/>
      <c r="F9" s="2"/>
      <c r="G9" s="2"/>
      <c r="H9" s="2"/>
      <c r="L9" s="2"/>
      <c r="M9" s="2"/>
    </row>
    <row r="10" spans="1:13" x14ac:dyDescent="0.25">
      <c r="A10" s="8" t="s">
        <v>22</v>
      </c>
      <c r="B10" s="2" t="s">
        <v>23</v>
      </c>
      <c r="C10" s="2">
        <v>1</v>
      </c>
      <c r="D10" s="2" t="s">
        <v>9</v>
      </c>
      <c r="E10" s="6">
        <v>99</v>
      </c>
      <c r="F10" s="6">
        <f>C10*E10</f>
        <v>99</v>
      </c>
      <c r="G10" s="5" t="s">
        <v>16</v>
      </c>
      <c r="H10" s="2" t="s">
        <v>24</v>
      </c>
      <c r="L10" s="2"/>
      <c r="M10" s="2"/>
    </row>
    <row r="11" spans="1:13" x14ac:dyDescent="0.25">
      <c r="A11" s="8" t="s">
        <v>22</v>
      </c>
      <c r="B11" s="2" t="s">
        <v>25</v>
      </c>
      <c r="C11" s="2">
        <v>2</v>
      </c>
      <c r="D11" s="2" t="s">
        <v>9</v>
      </c>
      <c r="E11" s="6">
        <v>71.099999999999994</v>
      </c>
      <c r="F11" s="6">
        <f>C11*E11</f>
        <v>142.19999999999999</v>
      </c>
      <c r="G11" s="5" t="s">
        <v>16</v>
      </c>
      <c r="H11" s="2" t="s">
        <v>28</v>
      </c>
      <c r="L11" s="2"/>
      <c r="M11" s="2"/>
    </row>
    <row r="12" spans="1:13" x14ac:dyDescent="0.25">
      <c r="A12" s="8" t="s">
        <v>22</v>
      </c>
      <c r="B12" s="2" t="s">
        <v>25</v>
      </c>
      <c r="C12" s="2">
        <v>5</v>
      </c>
      <c r="D12" s="2" t="s">
        <v>9</v>
      </c>
      <c r="E12" s="6">
        <v>47.4</v>
      </c>
      <c r="F12" s="6">
        <f>C12*E12</f>
        <v>237</v>
      </c>
      <c r="G12" s="5" t="s">
        <v>16</v>
      </c>
      <c r="H12" s="2" t="s">
        <v>29</v>
      </c>
      <c r="L12" s="12" t="s">
        <v>100</v>
      </c>
      <c r="M12" s="14">
        <f>SUM(M3:M11)</f>
        <v>22308.200000000004</v>
      </c>
    </row>
    <row r="13" spans="1:13" x14ac:dyDescent="0.25">
      <c r="A13" s="8" t="s">
        <v>22</v>
      </c>
      <c r="B13" s="2" t="s">
        <v>26</v>
      </c>
      <c r="C13" s="2">
        <v>4</v>
      </c>
      <c r="D13" s="2" t="s">
        <v>9</v>
      </c>
      <c r="E13" s="6">
        <v>63.9</v>
      </c>
      <c r="F13" s="6">
        <f>C13*E13</f>
        <v>255.6</v>
      </c>
      <c r="G13" s="5" t="s">
        <v>16</v>
      </c>
      <c r="H13" s="2" t="s">
        <v>30</v>
      </c>
      <c r="L13" s="2"/>
      <c r="M13" s="2"/>
    </row>
    <row r="14" spans="1:13" x14ac:dyDescent="0.25">
      <c r="A14" s="8" t="s">
        <v>22</v>
      </c>
      <c r="B14" s="2" t="s">
        <v>27</v>
      </c>
      <c r="C14" s="2">
        <v>42</v>
      </c>
      <c r="D14" s="2" t="s">
        <v>9</v>
      </c>
      <c r="E14" s="6">
        <v>42.6</v>
      </c>
      <c r="F14" s="6">
        <f>C14*E14</f>
        <v>1789.2</v>
      </c>
      <c r="G14" s="5" t="s">
        <v>16</v>
      </c>
      <c r="H14" s="2" t="s">
        <v>31</v>
      </c>
      <c r="L14" s="2"/>
      <c r="M14" s="2"/>
    </row>
    <row r="15" spans="1:13" x14ac:dyDescent="0.25">
      <c r="A15" s="2"/>
      <c r="B15" s="2"/>
      <c r="C15" s="2"/>
      <c r="D15" s="2"/>
      <c r="E15" s="2"/>
      <c r="F15" s="2"/>
      <c r="G15" s="2"/>
      <c r="H15" s="2"/>
      <c r="L15" s="2"/>
      <c r="M15" s="2"/>
    </row>
    <row r="16" spans="1:13" x14ac:dyDescent="0.25">
      <c r="A16" s="2"/>
      <c r="B16" s="2"/>
      <c r="C16" s="2"/>
      <c r="D16" s="2"/>
      <c r="E16" s="2"/>
      <c r="F16" s="2"/>
      <c r="G16" s="2"/>
      <c r="H16" s="2"/>
      <c r="L16" s="2"/>
      <c r="M16" s="2"/>
    </row>
    <row r="17" spans="1:13" x14ac:dyDescent="0.25">
      <c r="A17" s="9" t="s">
        <v>32</v>
      </c>
      <c r="B17" s="12" t="s">
        <v>59</v>
      </c>
      <c r="C17" s="2"/>
      <c r="D17" s="2"/>
      <c r="E17" s="6"/>
      <c r="F17" s="6"/>
      <c r="G17" s="5"/>
      <c r="H17" s="2"/>
      <c r="L17" s="2"/>
      <c r="M17" s="2"/>
    </row>
    <row r="18" spans="1:13" x14ac:dyDescent="0.25">
      <c r="A18" s="9" t="s">
        <v>32</v>
      </c>
      <c r="B18" s="2" t="s">
        <v>33</v>
      </c>
      <c r="C18" s="2">
        <v>13</v>
      </c>
      <c r="D18" s="2" t="s">
        <v>9</v>
      </c>
      <c r="E18" s="6">
        <v>53.25</v>
      </c>
      <c r="F18" s="6">
        <f>C18*E18</f>
        <v>692.25</v>
      </c>
      <c r="G18" s="5" t="s">
        <v>16</v>
      </c>
      <c r="H18" s="2" t="s">
        <v>67</v>
      </c>
      <c r="L18" s="2"/>
      <c r="M18" s="2"/>
    </row>
    <row r="19" spans="1:13" x14ac:dyDescent="0.25">
      <c r="A19" s="9" t="s">
        <v>32</v>
      </c>
      <c r="B19" s="2" t="s">
        <v>36</v>
      </c>
      <c r="C19" s="2">
        <v>15</v>
      </c>
      <c r="D19" s="2" t="s">
        <v>9</v>
      </c>
      <c r="E19" s="6">
        <v>129</v>
      </c>
      <c r="F19" s="6">
        <f>C19*E19</f>
        <v>1935</v>
      </c>
      <c r="G19" s="5" t="s">
        <v>16</v>
      </c>
      <c r="H19" s="2" t="s">
        <v>68</v>
      </c>
    </row>
    <row r="20" spans="1:13" x14ac:dyDescent="0.25">
      <c r="A20" s="9" t="s">
        <v>32</v>
      </c>
      <c r="B20" s="2" t="s">
        <v>44</v>
      </c>
      <c r="C20" s="2">
        <v>6</v>
      </c>
      <c r="D20" s="2" t="s">
        <v>9</v>
      </c>
      <c r="E20" s="6">
        <v>92.7</v>
      </c>
      <c r="F20" s="6">
        <f>C20*E20</f>
        <v>556.20000000000005</v>
      </c>
      <c r="G20" s="5" t="s">
        <v>16</v>
      </c>
      <c r="H20" s="2" t="s">
        <v>60</v>
      </c>
    </row>
    <row r="21" spans="1:13" x14ac:dyDescent="0.25">
      <c r="A21" s="13"/>
      <c r="B21" s="2"/>
      <c r="C21" s="2"/>
      <c r="D21" s="2"/>
      <c r="E21" s="6"/>
      <c r="F21" s="6"/>
      <c r="G21" s="2"/>
      <c r="H21" s="2"/>
    </row>
    <row r="22" spans="1:13" x14ac:dyDescent="0.25">
      <c r="A22" s="9" t="s">
        <v>32</v>
      </c>
      <c r="B22" s="12" t="s">
        <v>61</v>
      </c>
      <c r="C22" s="2"/>
      <c r="D22" s="2"/>
      <c r="E22" s="6"/>
      <c r="F22" s="6"/>
      <c r="G22" s="2"/>
      <c r="H22" s="2"/>
    </row>
    <row r="23" spans="1:13" x14ac:dyDescent="0.25">
      <c r="A23" s="9" t="s">
        <v>32</v>
      </c>
      <c r="B23" s="2" t="s">
        <v>35</v>
      </c>
      <c r="C23" s="2">
        <v>5</v>
      </c>
      <c r="D23" s="2" t="s">
        <v>9</v>
      </c>
      <c r="E23" s="6">
        <v>579</v>
      </c>
      <c r="F23" s="6">
        <f>C23*E23</f>
        <v>2895</v>
      </c>
      <c r="G23" s="5" t="s">
        <v>16</v>
      </c>
      <c r="H23" s="2" t="s">
        <v>62</v>
      </c>
    </row>
    <row r="24" spans="1:13" x14ac:dyDescent="0.25">
      <c r="A24" s="9" t="s">
        <v>32</v>
      </c>
      <c r="B24" s="2" t="s">
        <v>63</v>
      </c>
      <c r="C24" s="2">
        <v>3</v>
      </c>
      <c r="D24" s="2" t="s">
        <v>9</v>
      </c>
      <c r="E24" s="6">
        <v>69.95</v>
      </c>
      <c r="F24" s="6">
        <f>C24*E24</f>
        <v>209.85000000000002</v>
      </c>
      <c r="G24" s="5" t="s">
        <v>16</v>
      </c>
      <c r="H24" s="2" t="s">
        <v>64</v>
      </c>
    </row>
    <row r="25" spans="1:13" x14ac:dyDescent="0.25">
      <c r="A25" s="9" t="s">
        <v>32</v>
      </c>
      <c r="B25" s="2" t="s">
        <v>56</v>
      </c>
      <c r="C25" s="2">
        <v>1</v>
      </c>
      <c r="D25" s="2" t="s">
        <v>9</v>
      </c>
      <c r="E25" s="6">
        <v>149</v>
      </c>
      <c r="F25" s="6">
        <f>C25*E25</f>
        <v>149</v>
      </c>
      <c r="G25" s="5" t="s">
        <v>16</v>
      </c>
      <c r="H25" s="2" t="s">
        <v>57</v>
      </c>
    </row>
    <row r="26" spans="1:13" x14ac:dyDescent="0.25">
      <c r="A26" s="13"/>
      <c r="B26" s="2"/>
      <c r="C26" s="2"/>
      <c r="D26" s="2"/>
      <c r="E26" s="6"/>
      <c r="F26" s="6"/>
      <c r="G26" s="5"/>
      <c r="H26" s="2"/>
    </row>
    <row r="27" spans="1:13" x14ac:dyDescent="0.25">
      <c r="A27" s="9" t="s">
        <v>32</v>
      </c>
      <c r="B27" s="12" t="s">
        <v>65</v>
      </c>
      <c r="C27" s="2"/>
      <c r="D27" s="2"/>
      <c r="E27" s="6"/>
      <c r="F27" s="6"/>
      <c r="G27" s="5"/>
      <c r="H27" s="2"/>
    </row>
    <row r="28" spans="1:13" x14ac:dyDescent="0.25">
      <c r="A28" s="9" t="s">
        <v>32</v>
      </c>
      <c r="B28" s="2" t="s">
        <v>54</v>
      </c>
      <c r="C28" s="2">
        <v>7</v>
      </c>
      <c r="D28" s="2" t="s">
        <v>9</v>
      </c>
      <c r="E28" s="6">
        <v>39.75</v>
      </c>
      <c r="F28" s="6">
        <f>C28*E28</f>
        <v>278.25</v>
      </c>
      <c r="G28" s="5" t="s">
        <v>16</v>
      </c>
      <c r="H28" s="2" t="s">
        <v>55</v>
      </c>
    </row>
    <row r="29" spans="1:13" x14ac:dyDescent="0.25">
      <c r="A29" s="9" t="s">
        <v>32</v>
      </c>
      <c r="B29" s="2" t="s">
        <v>69</v>
      </c>
      <c r="C29" s="2">
        <v>13</v>
      </c>
      <c r="D29" s="2" t="s">
        <v>9</v>
      </c>
      <c r="E29" s="6">
        <v>59.95</v>
      </c>
      <c r="F29" s="6">
        <f>C29*E29</f>
        <v>779.35</v>
      </c>
      <c r="G29" s="5" t="s">
        <v>16</v>
      </c>
      <c r="H29" s="2" t="s">
        <v>70</v>
      </c>
    </row>
    <row r="30" spans="1:13" x14ac:dyDescent="0.25">
      <c r="A30" s="13"/>
      <c r="B30" s="2"/>
      <c r="C30" s="2"/>
      <c r="D30" s="2"/>
      <c r="E30" s="6"/>
      <c r="F30" s="6"/>
      <c r="G30" s="5"/>
      <c r="H30" s="2"/>
    </row>
    <row r="31" spans="1:13" x14ac:dyDescent="0.25">
      <c r="A31" s="9" t="s">
        <v>32</v>
      </c>
      <c r="B31" s="12" t="s">
        <v>66</v>
      </c>
      <c r="C31" s="2"/>
      <c r="D31" s="2"/>
      <c r="E31" s="6"/>
      <c r="F31" s="6"/>
      <c r="G31" s="5"/>
      <c r="H31" s="2"/>
    </row>
    <row r="32" spans="1:13" x14ac:dyDescent="0.25">
      <c r="A32" s="9" t="s">
        <v>32</v>
      </c>
      <c r="B32" s="2" t="s">
        <v>34</v>
      </c>
      <c r="C32" s="2">
        <v>7</v>
      </c>
      <c r="D32" s="2" t="s">
        <v>43</v>
      </c>
      <c r="E32" s="6">
        <v>49.95</v>
      </c>
      <c r="F32" s="6">
        <f>C32*E32</f>
        <v>349.65000000000003</v>
      </c>
      <c r="G32" s="5" t="s">
        <v>16</v>
      </c>
      <c r="H32" s="2" t="s">
        <v>82</v>
      </c>
    </row>
    <row r="33" spans="1:8" x14ac:dyDescent="0.25">
      <c r="A33" s="9" t="s">
        <v>32</v>
      </c>
      <c r="B33" s="2" t="s">
        <v>71</v>
      </c>
      <c r="C33" s="2">
        <v>10</v>
      </c>
      <c r="D33" s="2" t="s">
        <v>9</v>
      </c>
      <c r="E33" s="6">
        <v>24.95</v>
      </c>
      <c r="F33" s="6">
        <f>C33*E33</f>
        <v>249.5</v>
      </c>
      <c r="G33" s="5" t="s">
        <v>16</v>
      </c>
      <c r="H33" s="2" t="s">
        <v>86</v>
      </c>
    </row>
    <row r="34" spans="1:8" x14ac:dyDescent="0.25">
      <c r="A34" s="9" t="s">
        <v>32</v>
      </c>
      <c r="B34" s="2" t="s">
        <v>83</v>
      </c>
      <c r="C34" s="2">
        <v>1</v>
      </c>
      <c r="D34" s="2" t="s">
        <v>9</v>
      </c>
      <c r="E34" s="6">
        <v>46.75</v>
      </c>
      <c r="F34" s="6">
        <f>E34*C34</f>
        <v>46.75</v>
      </c>
      <c r="G34" s="5" t="s">
        <v>16</v>
      </c>
      <c r="H34" s="2" t="s">
        <v>85</v>
      </c>
    </row>
    <row r="35" spans="1:8" x14ac:dyDescent="0.25">
      <c r="A35" s="9" t="s">
        <v>32</v>
      </c>
      <c r="B35" s="2" t="s">
        <v>72</v>
      </c>
      <c r="C35" s="2">
        <v>2</v>
      </c>
      <c r="D35" s="2" t="s">
        <v>9</v>
      </c>
      <c r="E35" s="6">
        <v>43.75</v>
      </c>
      <c r="F35" s="6">
        <f>C35*E35</f>
        <v>87.5</v>
      </c>
      <c r="G35" s="5" t="s">
        <v>16</v>
      </c>
      <c r="H35" s="2" t="s">
        <v>84</v>
      </c>
    </row>
    <row r="36" spans="1:8" x14ac:dyDescent="0.25">
      <c r="A36" s="9" t="s">
        <v>32</v>
      </c>
      <c r="B36" s="2" t="s">
        <v>73</v>
      </c>
      <c r="C36" s="2">
        <v>1</v>
      </c>
      <c r="D36" s="2" t="s">
        <v>9</v>
      </c>
      <c r="E36" s="6">
        <v>19.95</v>
      </c>
      <c r="F36" s="6">
        <f>C36*E36</f>
        <v>19.95</v>
      </c>
      <c r="G36" s="5" t="s">
        <v>16</v>
      </c>
      <c r="H36" s="2" t="s">
        <v>87</v>
      </c>
    </row>
    <row r="37" spans="1:8" x14ac:dyDescent="0.25">
      <c r="A37" s="9" t="s">
        <v>32</v>
      </c>
      <c r="B37" s="2" t="s">
        <v>74</v>
      </c>
      <c r="C37" s="2">
        <v>1</v>
      </c>
      <c r="D37" s="2" t="s">
        <v>9</v>
      </c>
      <c r="E37" s="6">
        <v>210</v>
      </c>
      <c r="F37" s="6">
        <f>C37*E37</f>
        <v>210</v>
      </c>
      <c r="G37" s="5" t="s">
        <v>16</v>
      </c>
      <c r="H37" s="2" t="s">
        <v>80</v>
      </c>
    </row>
    <row r="38" spans="1:8" x14ac:dyDescent="0.25">
      <c r="A38" s="9" t="s">
        <v>32</v>
      </c>
      <c r="B38" s="2" t="s">
        <v>75</v>
      </c>
      <c r="C38" s="2">
        <v>1</v>
      </c>
      <c r="D38" s="2" t="s">
        <v>9</v>
      </c>
      <c r="E38" s="6">
        <v>78.75</v>
      </c>
      <c r="F38" s="6">
        <f>C38*E38</f>
        <v>78.75</v>
      </c>
      <c r="G38" s="5" t="s">
        <v>16</v>
      </c>
      <c r="H38" s="2" t="s">
        <v>81</v>
      </c>
    </row>
    <row r="39" spans="1:8" x14ac:dyDescent="0.25">
      <c r="A39" s="9" t="s">
        <v>32</v>
      </c>
      <c r="B39" s="2" t="s">
        <v>88</v>
      </c>
      <c r="C39" s="2">
        <v>1</v>
      </c>
      <c r="D39" s="2" t="s">
        <v>9</v>
      </c>
      <c r="E39" s="6">
        <v>105</v>
      </c>
      <c r="F39" s="6">
        <f>C39*E39</f>
        <v>105</v>
      </c>
      <c r="G39" s="5" t="s">
        <v>16</v>
      </c>
      <c r="H39" s="2" t="s">
        <v>89</v>
      </c>
    </row>
    <row r="40" spans="1:8" x14ac:dyDescent="0.25">
      <c r="A40" s="2"/>
      <c r="B40" s="2"/>
      <c r="C40" s="2"/>
      <c r="D40" s="2"/>
      <c r="E40" s="2"/>
      <c r="F40" s="2"/>
      <c r="G40" s="2"/>
      <c r="H40" s="2"/>
    </row>
    <row r="41" spans="1:8" x14ac:dyDescent="0.25">
      <c r="A41" s="9" t="s">
        <v>32</v>
      </c>
      <c r="B41" s="12" t="s">
        <v>76</v>
      </c>
      <c r="C41" s="2"/>
      <c r="D41" s="2"/>
      <c r="E41" s="2"/>
      <c r="F41" s="2"/>
      <c r="G41" s="2"/>
      <c r="H41" s="2"/>
    </row>
    <row r="42" spans="1:8" x14ac:dyDescent="0.25">
      <c r="A42" s="9" t="s">
        <v>32</v>
      </c>
      <c r="B42" s="2" t="s">
        <v>47</v>
      </c>
      <c r="C42" s="2">
        <v>48</v>
      </c>
      <c r="D42" s="2" t="s">
        <v>9</v>
      </c>
      <c r="E42" s="6"/>
      <c r="F42" s="6"/>
      <c r="G42" s="2"/>
      <c r="H42" s="2" t="s">
        <v>48</v>
      </c>
    </row>
    <row r="43" spans="1:8" x14ac:dyDescent="0.25">
      <c r="A43" s="9" t="s">
        <v>32</v>
      </c>
      <c r="B43" s="2" t="s">
        <v>77</v>
      </c>
      <c r="C43" s="2">
        <v>250</v>
      </c>
      <c r="D43" s="2" t="s">
        <v>9</v>
      </c>
      <c r="E43" s="6"/>
      <c r="F43" s="6"/>
      <c r="G43" s="2"/>
      <c r="H43" s="2"/>
    </row>
    <row r="44" spans="1:8" x14ac:dyDescent="0.25">
      <c r="A44" s="9" t="s">
        <v>32</v>
      </c>
      <c r="B44" s="2" t="s">
        <v>78</v>
      </c>
      <c r="C44" s="2"/>
      <c r="D44" s="2"/>
      <c r="E44" s="6"/>
      <c r="F44" s="6"/>
      <c r="G44" s="2"/>
      <c r="H44" s="2"/>
    </row>
    <row r="45" spans="1:8" x14ac:dyDescent="0.25">
      <c r="A45" s="9" t="s">
        <v>32</v>
      </c>
      <c r="B45" s="2" t="s">
        <v>79</v>
      </c>
      <c r="C45" s="2">
        <v>1</v>
      </c>
      <c r="D45" s="2" t="s">
        <v>52</v>
      </c>
      <c r="E45" s="6">
        <v>69.95</v>
      </c>
      <c r="F45" s="6">
        <f>C45*E45</f>
        <v>69.95</v>
      </c>
      <c r="G45" s="5" t="s">
        <v>16</v>
      </c>
      <c r="H45" s="2" t="s">
        <v>58</v>
      </c>
    </row>
    <row r="46" spans="1:8" x14ac:dyDescent="0.25">
      <c r="A46" s="2"/>
      <c r="B46" s="2"/>
      <c r="C46" s="2"/>
      <c r="D46" s="2"/>
      <c r="E46" s="6"/>
      <c r="F46" s="6"/>
      <c r="G46" s="2"/>
      <c r="H46" s="2"/>
    </row>
    <row r="47" spans="1:8" x14ac:dyDescent="0.25">
      <c r="A47" s="2"/>
      <c r="B47" s="2"/>
      <c r="C47" s="2"/>
      <c r="D47" s="2"/>
      <c r="E47" s="6"/>
      <c r="F47" s="6"/>
      <c r="G47" s="2"/>
      <c r="H47" s="2"/>
    </row>
    <row r="48" spans="1:8" x14ac:dyDescent="0.25">
      <c r="A48" s="10" t="s">
        <v>37</v>
      </c>
      <c r="B48" s="2" t="s">
        <v>38</v>
      </c>
      <c r="C48" s="2">
        <v>2</v>
      </c>
      <c r="D48" s="2" t="s">
        <v>9</v>
      </c>
      <c r="E48" s="6">
        <v>1350</v>
      </c>
      <c r="F48" s="6">
        <v>1350</v>
      </c>
      <c r="G48" s="2"/>
      <c r="H48" s="2" t="s">
        <v>90</v>
      </c>
    </row>
    <row r="49" spans="1:8" x14ac:dyDescent="0.25">
      <c r="A49" s="10" t="s">
        <v>37</v>
      </c>
      <c r="B49" s="2" t="s">
        <v>91</v>
      </c>
      <c r="C49" s="2"/>
      <c r="D49" s="2"/>
      <c r="E49" s="6"/>
      <c r="F49" s="6"/>
      <c r="G49" s="2"/>
      <c r="H49" s="2"/>
    </row>
    <row r="50" spans="1:8" x14ac:dyDescent="0.25">
      <c r="A50" s="10" t="s">
        <v>37</v>
      </c>
      <c r="B50" s="2" t="s">
        <v>39</v>
      </c>
      <c r="C50" s="2">
        <v>6</v>
      </c>
      <c r="D50" s="2" t="s">
        <v>52</v>
      </c>
      <c r="E50" s="6">
        <v>497.7</v>
      </c>
      <c r="F50" s="6">
        <f>C50*E50</f>
        <v>2986.2</v>
      </c>
      <c r="G50" s="5" t="s">
        <v>16</v>
      </c>
      <c r="H50" s="2" t="s">
        <v>94</v>
      </c>
    </row>
    <row r="51" spans="1:8" x14ac:dyDescent="0.25">
      <c r="A51" s="10" t="s">
        <v>37</v>
      </c>
      <c r="B51" s="2" t="s">
        <v>40</v>
      </c>
      <c r="C51" s="2">
        <v>1</v>
      </c>
      <c r="D51" s="2" t="s">
        <v>97</v>
      </c>
      <c r="E51" s="6">
        <v>299</v>
      </c>
      <c r="F51" s="6">
        <f>C51*E51</f>
        <v>299</v>
      </c>
      <c r="G51" s="5" t="s">
        <v>16</v>
      </c>
      <c r="H51" s="2" t="s">
        <v>98</v>
      </c>
    </row>
    <row r="52" spans="1:8" x14ac:dyDescent="0.25">
      <c r="A52" s="10" t="s">
        <v>37</v>
      </c>
      <c r="B52" s="2" t="s">
        <v>41</v>
      </c>
      <c r="C52" s="2">
        <v>10</v>
      </c>
      <c r="D52" s="2" t="s">
        <v>9</v>
      </c>
      <c r="E52" s="6">
        <v>28.35</v>
      </c>
      <c r="F52" s="6">
        <f>C52*E52</f>
        <v>283.5</v>
      </c>
      <c r="G52" s="5" t="s">
        <v>16</v>
      </c>
      <c r="H52" s="2" t="s">
        <v>99</v>
      </c>
    </row>
    <row r="53" spans="1:8" x14ac:dyDescent="0.25">
      <c r="A53" s="10" t="s">
        <v>37</v>
      </c>
      <c r="B53" s="2" t="s">
        <v>92</v>
      </c>
      <c r="C53" s="2">
        <v>4</v>
      </c>
      <c r="D53" s="2" t="s">
        <v>9</v>
      </c>
      <c r="E53" s="6">
        <v>29.25</v>
      </c>
      <c r="F53" s="6">
        <f>C53*E53</f>
        <v>117</v>
      </c>
      <c r="G53" s="5" t="s">
        <v>16</v>
      </c>
      <c r="H53" s="2" t="s">
        <v>93</v>
      </c>
    </row>
    <row r="54" spans="1:8" x14ac:dyDescent="0.25">
      <c r="A54" s="10" t="s">
        <v>37</v>
      </c>
      <c r="B54" s="2" t="s">
        <v>42</v>
      </c>
      <c r="C54" s="2">
        <v>20</v>
      </c>
      <c r="D54" s="2" t="s">
        <v>95</v>
      </c>
      <c r="E54" s="6">
        <v>29.61</v>
      </c>
      <c r="F54" s="6">
        <f>C54*E54</f>
        <v>592.20000000000005</v>
      </c>
      <c r="G54" s="5" t="s">
        <v>16</v>
      </c>
      <c r="H54" s="2" t="s">
        <v>96</v>
      </c>
    </row>
  </sheetData>
  <hyperlinks>
    <hyperlink ref="G2" r:id="rId1" xr:uid="{F4F18C84-7C2A-48FB-8004-317535792BC3}"/>
    <hyperlink ref="G3" r:id="rId2" xr:uid="{ADFA0A0F-4714-409E-8183-2D1DC6F6AF6F}"/>
    <hyperlink ref="G6" r:id="rId3" xr:uid="{ABFF7B92-54B5-4DD1-902D-CD3F20ADE0CF}"/>
    <hyperlink ref="G4" r:id="rId4" xr:uid="{8CCAF7E5-106F-47B8-9280-E8F7218A5778}"/>
    <hyperlink ref="G5" r:id="rId5" xr:uid="{B1653E0F-ACED-4CCF-A400-CFAAC3AE7DBB}"/>
    <hyperlink ref="G10" r:id="rId6" xr:uid="{FAC46CC1-954E-4401-8371-771034A3763E}"/>
    <hyperlink ref="G11" r:id="rId7" xr:uid="{C3AD733A-BB1C-4DD8-9997-7E1264E27325}"/>
    <hyperlink ref="G12" r:id="rId8" xr:uid="{822C708A-89BB-4C41-85A2-7F46AE9C3AA4}"/>
    <hyperlink ref="G13" r:id="rId9" xr:uid="{AB4A796C-54C2-42B8-BEA7-318533409B7B}"/>
    <hyperlink ref="G14" r:id="rId10" xr:uid="{655A2597-DBF9-463B-8049-641996B3C27E}"/>
    <hyperlink ref="G7" r:id="rId11" xr:uid="{FD55BB59-34E1-441E-8248-D0E1715D035D}"/>
    <hyperlink ref="G8" r:id="rId12" xr:uid="{BD300C6F-9638-4146-BB8B-372C01FFC096}"/>
    <hyperlink ref="G18" r:id="rId13" xr:uid="{98902821-B69F-412E-AA6C-49250E0607BB}"/>
    <hyperlink ref="G20" r:id="rId14" xr:uid="{A3BA01B0-716E-4A8A-B261-0277253862F9}"/>
    <hyperlink ref="G23" r:id="rId15" xr:uid="{61B7C4B2-5E9D-453F-AF0E-2B11632D1523}"/>
    <hyperlink ref="G24" r:id="rId16" xr:uid="{1556E857-5EA4-4AFD-A46D-DA68FCE0C368}"/>
    <hyperlink ref="G28" r:id="rId17" xr:uid="{2A1B6AD6-9195-4308-96DA-B367781D8834}"/>
    <hyperlink ref="G25" r:id="rId18" xr:uid="{D47075DF-0C65-4328-8143-AC391C5CB0E1}"/>
    <hyperlink ref="G19" r:id="rId19" xr:uid="{4FDD94E9-90D8-43F2-907C-946B9881176C}"/>
    <hyperlink ref="G29" r:id="rId20" xr:uid="{CC2F3AA5-2390-4502-B846-73502945F531}"/>
    <hyperlink ref="G45" r:id="rId21" xr:uid="{BDABF779-BB8F-4FB8-B47F-5564583B87F7}"/>
    <hyperlink ref="G37" r:id="rId22" xr:uid="{CEF38967-2469-4D49-A02D-F472126F1E40}"/>
    <hyperlink ref="G38" r:id="rId23" xr:uid="{B2CE4942-5540-41C3-BA97-6490679B9538}"/>
    <hyperlink ref="G32" r:id="rId24" xr:uid="{ACBF5DF3-DCAE-4B46-ADBF-4ED14628DEAD}"/>
    <hyperlink ref="G34" r:id="rId25" xr:uid="{3C7A8F56-ABC4-48F1-81CB-AA4666067E19}"/>
    <hyperlink ref="G35" r:id="rId26" xr:uid="{BB3E73A9-E185-45C0-B602-B5CA391A8E3D}"/>
    <hyperlink ref="G33" r:id="rId27" xr:uid="{6E92EC5D-CAC7-440C-BF15-9DA01ECB766F}"/>
    <hyperlink ref="G36" r:id="rId28" xr:uid="{8249F3D4-5A22-4913-B3CE-0088DB84F686}"/>
    <hyperlink ref="G39" r:id="rId29" xr:uid="{18655CD5-F404-4A1C-BCC9-5252BAFDF36C}"/>
    <hyperlink ref="G53" r:id="rId30" xr:uid="{303BBEF4-A747-4428-8609-08F72A9AA57A}"/>
    <hyperlink ref="G50" r:id="rId31" xr:uid="{919B397D-E706-41C1-8F46-A4E5C53DB568}"/>
    <hyperlink ref="G54" r:id="rId32" xr:uid="{185DD66E-4399-4E25-94B8-693B37381812}"/>
    <hyperlink ref="G51" r:id="rId33" xr:uid="{1DE05233-E156-4AD3-AB51-F483E7BEB7AE}"/>
    <hyperlink ref="G52" r:id="rId34" xr:uid="{5233D602-08FC-41DE-84BE-B1A5D23660A0}"/>
  </hyperlinks>
  <pageMargins left="0.7" right="0.7" top="0.75" bottom="0.75" header="0.3" footer="0.3"/>
  <pageSetup paperSize="9" orientation="portrait" r:id="rId3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1006-3169-40A0-B66F-4490656895FA}">
  <dimension ref="A1:N32"/>
  <sheetViews>
    <sheetView workbookViewId="0">
      <selection activeCell="H32" sqref="A4:H32"/>
    </sheetView>
  </sheetViews>
  <sheetFormatPr defaultRowHeight="15" x14ac:dyDescent="0.25"/>
  <cols>
    <col min="1" max="1" width="15.42578125" style="3" bestFit="1" customWidth="1"/>
    <col min="2" max="2" width="35.5703125" style="3" bestFit="1" customWidth="1"/>
    <col min="3" max="3" width="6.42578125" style="3" bestFit="1" customWidth="1"/>
    <col min="4" max="4" width="7.7109375" style="3" bestFit="1" customWidth="1"/>
    <col min="5" max="5" width="22" style="3" bestFit="1" customWidth="1"/>
    <col min="6" max="6" width="12.28515625" style="3" bestFit="1" customWidth="1"/>
    <col min="7" max="7" width="19.5703125" style="3" bestFit="1" customWidth="1"/>
    <col min="8" max="8" width="95.42578125" style="3" bestFit="1" customWidth="1"/>
    <col min="9" max="11" width="9.140625" style="3"/>
    <col min="12" max="12" width="17" style="3" customWidth="1"/>
    <col min="13" max="13" width="12.28515625" style="3" bestFit="1" customWidth="1"/>
    <col min="14" max="16384" width="9.140625" style="3"/>
  </cols>
  <sheetData>
    <row r="1" spans="1:14" customFormat="1" ht="17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</v>
      </c>
      <c r="H1" s="1" t="s">
        <v>6</v>
      </c>
    </row>
    <row r="2" spans="1:14" x14ac:dyDescent="0.25">
      <c r="A2" s="2"/>
      <c r="B2" s="2"/>
      <c r="C2" s="2"/>
      <c r="D2" s="2"/>
      <c r="E2" s="2"/>
      <c r="F2" s="2"/>
      <c r="G2" s="2"/>
      <c r="H2" s="2"/>
      <c r="K2"/>
      <c r="L2"/>
      <c r="M2"/>
      <c r="N2"/>
    </row>
    <row r="3" spans="1:14" x14ac:dyDescent="0.25">
      <c r="A3" s="2"/>
      <c r="B3" s="2"/>
      <c r="C3" s="2"/>
      <c r="D3" s="2"/>
      <c r="E3" s="2"/>
      <c r="F3" s="2"/>
      <c r="G3" s="2"/>
      <c r="H3" s="2"/>
      <c r="K3"/>
      <c r="L3"/>
      <c r="M3"/>
      <c r="N3"/>
    </row>
    <row r="4" spans="1:14" x14ac:dyDescent="0.25">
      <c r="A4" s="9" t="s">
        <v>32</v>
      </c>
      <c r="B4" s="12" t="s">
        <v>59</v>
      </c>
      <c r="C4" s="2"/>
      <c r="D4" s="2"/>
      <c r="E4" s="6"/>
      <c r="F4" s="6"/>
      <c r="G4" s="5"/>
      <c r="H4" s="2"/>
      <c r="K4"/>
      <c r="L4"/>
      <c r="M4"/>
      <c r="N4"/>
    </row>
    <row r="5" spans="1:14" x14ac:dyDescent="0.25">
      <c r="A5" s="9" t="s">
        <v>32</v>
      </c>
      <c r="B5" s="2" t="s">
        <v>33</v>
      </c>
      <c r="C5" s="2">
        <v>13</v>
      </c>
      <c r="D5" s="2" t="s">
        <v>9</v>
      </c>
      <c r="E5" s="6">
        <v>53.25</v>
      </c>
      <c r="F5" s="6">
        <f>C5*E5</f>
        <v>692.25</v>
      </c>
      <c r="G5" s="5" t="s">
        <v>16</v>
      </c>
      <c r="H5" s="2" t="s">
        <v>67</v>
      </c>
      <c r="K5"/>
      <c r="L5"/>
      <c r="M5"/>
      <c r="N5"/>
    </row>
    <row r="6" spans="1:14" x14ac:dyDescent="0.25">
      <c r="A6" s="9" t="s">
        <v>32</v>
      </c>
      <c r="B6" s="2" t="s">
        <v>36</v>
      </c>
      <c r="C6" s="2">
        <v>15</v>
      </c>
      <c r="D6" s="2" t="s">
        <v>9</v>
      </c>
      <c r="E6" s="6">
        <v>129</v>
      </c>
      <c r="F6" s="6">
        <f>C6*E6</f>
        <v>1935</v>
      </c>
      <c r="G6" s="5" t="s">
        <v>16</v>
      </c>
      <c r="H6" s="2" t="s">
        <v>68</v>
      </c>
    </row>
    <row r="7" spans="1:14" x14ac:dyDescent="0.25">
      <c r="A7" s="9" t="s">
        <v>32</v>
      </c>
      <c r="B7" s="2" t="s">
        <v>44</v>
      </c>
      <c r="C7" s="2">
        <v>6</v>
      </c>
      <c r="D7" s="2" t="s">
        <v>9</v>
      </c>
      <c r="E7" s="6">
        <v>92.7</v>
      </c>
      <c r="F7" s="6">
        <f>C7*E7</f>
        <v>556.20000000000005</v>
      </c>
      <c r="G7" s="5" t="s">
        <v>16</v>
      </c>
      <c r="H7" s="2" t="s">
        <v>60</v>
      </c>
    </row>
    <row r="8" spans="1:14" x14ac:dyDescent="0.25">
      <c r="A8" s="13"/>
      <c r="B8" s="2"/>
      <c r="C8" s="2"/>
      <c r="D8" s="2"/>
      <c r="E8" s="6"/>
      <c r="F8" s="6"/>
      <c r="G8" s="2"/>
      <c r="H8" s="2"/>
    </row>
    <row r="9" spans="1:14" x14ac:dyDescent="0.25">
      <c r="A9" s="9" t="s">
        <v>32</v>
      </c>
      <c r="B9" s="12" t="s">
        <v>61</v>
      </c>
      <c r="C9" s="2"/>
      <c r="D9" s="2"/>
      <c r="E9" s="6"/>
      <c r="F9" s="6"/>
      <c r="G9" s="2"/>
      <c r="H9" s="2"/>
    </row>
    <row r="10" spans="1:14" x14ac:dyDescent="0.25">
      <c r="A10" s="9" t="s">
        <v>32</v>
      </c>
      <c r="B10" s="2" t="s">
        <v>35</v>
      </c>
      <c r="C10" s="2">
        <v>5</v>
      </c>
      <c r="D10" s="2" t="s">
        <v>9</v>
      </c>
      <c r="E10" s="6">
        <v>579</v>
      </c>
      <c r="F10" s="6">
        <f>C10*E10</f>
        <v>2895</v>
      </c>
      <c r="G10" s="5" t="s">
        <v>16</v>
      </c>
      <c r="H10" s="2" t="s">
        <v>62</v>
      </c>
    </row>
    <row r="11" spans="1:14" x14ac:dyDescent="0.25">
      <c r="A11" s="9" t="s">
        <v>32</v>
      </c>
      <c r="B11" s="2" t="s">
        <v>63</v>
      </c>
      <c r="C11" s="2">
        <v>3</v>
      </c>
      <c r="D11" s="2" t="s">
        <v>9</v>
      </c>
      <c r="E11" s="6">
        <v>69.95</v>
      </c>
      <c r="F11" s="6">
        <f>C11*E11</f>
        <v>209.85000000000002</v>
      </c>
      <c r="G11" s="5" t="s">
        <v>16</v>
      </c>
      <c r="H11" s="2" t="s">
        <v>64</v>
      </c>
    </row>
    <row r="12" spans="1:14" x14ac:dyDescent="0.25">
      <c r="A12" s="9" t="s">
        <v>32</v>
      </c>
      <c r="B12" s="2" t="s">
        <v>56</v>
      </c>
      <c r="C12" s="2">
        <v>1</v>
      </c>
      <c r="D12" s="2" t="s">
        <v>9</v>
      </c>
      <c r="E12" s="6">
        <v>149</v>
      </c>
      <c r="F12" s="6">
        <f>C12*E12</f>
        <v>149</v>
      </c>
      <c r="G12" s="5" t="s">
        <v>16</v>
      </c>
      <c r="H12" s="2" t="s">
        <v>57</v>
      </c>
    </row>
    <row r="13" spans="1:14" x14ac:dyDescent="0.25">
      <c r="A13" s="13"/>
      <c r="B13" s="2"/>
      <c r="C13" s="2"/>
      <c r="D13" s="2"/>
      <c r="E13" s="6"/>
      <c r="F13" s="6"/>
      <c r="G13" s="5"/>
      <c r="H13" s="2"/>
    </row>
    <row r="14" spans="1:14" x14ac:dyDescent="0.25">
      <c r="A14" s="9" t="s">
        <v>32</v>
      </c>
      <c r="B14" s="12" t="s">
        <v>65</v>
      </c>
      <c r="C14" s="2"/>
      <c r="D14" s="2"/>
      <c r="E14" s="6"/>
      <c r="F14" s="6"/>
      <c r="G14" s="5"/>
      <c r="H14" s="2"/>
    </row>
    <row r="15" spans="1:14" x14ac:dyDescent="0.25">
      <c r="A15" s="9" t="s">
        <v>32</v>
      </c>
      <c r="B15" s="2" t="s">
        <v>54</v>
      </c>
      <c r="C15" s="2">
        <v>7</v>
      </c>
      <c r="D15" s="2" t="s">
        <v>9</v>
      </c>
      <c r="E15" s="6">
        <v>39.75</v>
      </c>
      <c r="F15" s="6">
        <f>C15*E15</f>
        <v>278.25</v>
      </c>
      <c r="G15" s="5" t="s">
        <v>16</v>
      </c>
      <c r="H15" s="2" t="s">
        <v>55</v>
      </c>
    </row>
    <row r="16" spans="1:14" x14ac:dyDescent="0.25">
      <c r="A16" s="9" t="s">
        <v>32</v>
      </c>
      <c r="B16" s="2" t="s">
        <v>69</v>
      </c>
      <c r="C16" s="2">
        <v>13</v>
      </c>
      <c r="D16" s="2" t="s">
        <v>9</v>
      </c>
      <c r="E16" s="6">
        <v>59.95</v>
      </c>
      <c r="F16" s="6">
        <f>C16*E16</f>
        <v>779.35</v>
      </c>
      <c r="G16" s="5" t="s">
        <v>16</v>
      </c>
      <c r="H16" s="2" t="s">
        <v>70</v>
      </c>
    </row>
    <row r="17" spans="1:8" x14ac:dyDescent="0.25">
      <c r="A17" s="13"/>
      <c r="B17" s="2"/>
      <c r="C17" s="2"/>
      <c r="D17" s="2"/>
      <c r="E17" s="6"/>
      <c r="F17" s="6"/>
      <c r="G17" s="5"/>
      <c r="H17" s="2"/>
    </row>
    <row r="18" spans="1:8" x14ac:dyDescent="0.25">
      <c r="A18" s="9" t="s">
        <v>32</v>
      </c>
      <c r="B18" s="12" t="s">
        <v>66</v>
      </c>
      <c r="C18" s="2"/>
      <c r="D18" s="2"/>
      <c r="E18" s="6"/>
      <c r="F18" s="6"/>
      <c r="G18" s="5"/>
      <c r="H18" s="2"/>
    </row>
    <row r="19" spans="1:8" x14ac:dyDescent="0.25">
      <c r="A19" s="9" t="s">
        <v>32</v>
      </c>
      <c r="B19" s="2" t="s">
        <v>34</v>
      </c>
      <c r="C19" s="2">
        <v>7</v>
      </c>
      <c r="D19" s="2" t="s">
        <v>43</v>
      </c>
      <c r="E19" s="6">
        <v>49.95</v>
      </c>
      <c r="F19" s="6">
        <f>C19*E19</f>
        <v>349.65000000000003</v>
      </c>
      <c r="G19" s="5" t="s">
        <v>16</v>
      </c>
      <c r="H19" s="2" t="s">
        <v>82</v>
      </c>
    </row>
    <row r="20" spans="1:8" x14ac:dyDescent="0.25">
      <c r="A20" s="9" t="s">
        <v>32</v>
      </c>
      <c r="B20" s="2" t="s">
        <v>71</v>
      </c>
      <c r="C20" s="2">
        <v>10</v>
      </c>
      <c r="D20" s="2" t="s">
        <v>9</v>
      </c>
      <c r="E20" s="6">
        <v>24.95</v>
      </c>
      <c r="F20" s="6">
        <f>C20*E20</f>
        <v>249.5</v>
      </c>
      <c r="G20" s="5" t="s">
        <v>16</v>
      </c>
      <c r="H20" s="2" t="s">
        <v>86</v>
      </c>
    </row>
    <row r="21" spans="1:8" x14ac:dyDescent="0.25">
      <c r="A21" s="9" t="s">
        <v>32</v>
      </c>
      <c r="B21" s="2" t="s">
        <v>83</v>
      </c>
      <c r="C21" s="2">
        <v>1</v>
      </c>
      <c r="D21" s="2" t="s">
        <v>9</v>
      </c>
      <c r="E21" s="6">
        <v>46.75</v>
      </c>
      <c r="F21" s="6">
        <f>E21*C21</f>
        <v>46.75</v>
      </c>
      <c r="G21" s="5" t="s">
        <v>16</v>
      </c>
      <c r="H21" s="2" t="s">
        <v>85</v>
      </c>
    </row>
    <row r="22" spans="1:8" x14ac:dyDescent="0.25">
      <c r="A22" s="9" t="s">
        <v>32</v>
      </c>
      <c r="B22" s="2" t="s">
        <v>72</v>
      </c>
      <c r="C22" s="2">
        <v>2</v>
      </c>
      <c r="D22" s="2" t="s">
        <v>9</v>
      </c>
      <c r="E22" s="6">
        <v>43.75</v>
      </c>
      <c r="F22" s="6">
        <f>C22*E22</f>
        <v>87.5</v>
      </c>
      <c r="G22" s="5" t="s">
        <v>16</v>
      </c>
      <c r="H22" s="2" t="s">
        <v>84</v>
      </c>
    </row>
    <row r="23" spans="1:8" x14ac:dyDescent="0.25">
      <c r="A23" s="9" t="s">
        <v>32</v>
      </c>
      <c r="B23" s="2" t="s">
        <v>73</v>
      </c>
      <c r="C23" s="2">
        <v>1</v>
      </c>
      <c r="D23" s="2" t="s">
        <v>9</v>
      </c>
      <c r="E23" s="6">
        <v>19.95</v>
      </c>
      <c r="F23" s="6">
        <f>C23*E23</f>
        <v>19.95</v>
      </c>
      <c r="G23" s="5" t="s">
        <v>16</v>
      </c>
      <c r="H23" s="2" t="s">
        <v>87</v>
      </c>
    </row>
    <row r="24" spans="1:8" x14ac:dyDescent="0.25">
      <c r="A24" s="9" t="s">
        <v>32</v>
      </c>
      <c r="B24" s="2" t="s">
        <v>74</v>
      </c>
      <c r="C24" s="2">
        <v>1</v>
      </c>
      <c r="D24" s="2" t="s">
        <v>9</v>
      </c>
      <c r="E24" s="6">
        <v>210</v>
      </c>
      <c r="F24" s="6">
        <f>C24*E24</f>
        <v>210</v>
      </c>
      <c r="G24" s="5" t="s">
        <v>16</v>
      </c>
      <c r="H24" s="2" t="s">
        <v>80</v>
      </c>
    </row>
    <row r="25" spans="1:8" x14ac:dyDescent="0.25">
      <c r="A25" s="9" t="s">
        <v>32</v>
      </c>
      <c r="B25" s="2" t="s">
        <v>75</v>
      </c>
      <c r="C25" s="2">
        <v>1</v>
      </c>
      <c r="D25" s="2" t="s">
        <v>9</v>
      </c>
      <c r="E25" s="6">
        <v>78.75</v>
      </c>
      <c r="F25" s="6">
        <f>C25*E25</f>
        <v>78.75</v>
      </c>
      <c r="G25" s="5" t="s">
        <v>16</v>
      </c>
      <c r="H25" s="2" t="s">
        <v>81</v>
      </c>
    </row>
    <row r="26" spans="1:8" x14ac:dyDescent="0.25">
      <c r="A26" s="9" t="s">
        <v>32</v>
      </c>
      <c r="B26" s="2" t="s">
        <v>88</v>
      </c>
      <c r="C26" s="2">
        <v>1</v>
      </c>
      <c r="D26" s="2" t="s">
        <v>9</v>
      </c>
      <c r="E26" s="6">
        <v>105</v>
      </c>
      <c r="F26" s="6">
        <f>C26*E26</f>
        <v>105</v>
      </c>
      <c r="G26" s="5" t="s">
        <v>16</v>
      </c>
      <c r="H26" s="2" t="s">
        <v>89</v>
      </c>
    </row>
    <row r="27" spans="1:8" x14ac:dyDescent="0.25">
      <c r="A27" s="2"/>
      <c r="B27" s="2"/>
      <c r="C27" s="2"/>
      <c r="D27" s="2"/>
      <c r="E27" s="2"/>
      <c r="F27" s="2"/>
      <c r="G27" s="2"/>
      <c r="H27" s="2"/>
    </row>
    <row r="28" spans="1:8" x14ac:dyDescent="0.25">
      <c r="A28" s="9" t="s">
        <v>32</v>
      </c>
      <c r="B28" s="12" t="s">
        <v>76</v>
      </c>
      <c r="C28" s="2"/>
      <c r="D28" s="2"/>
      <c r="E28" s="2"/>
      <c r="F28" s="2"/>
      <c r="G28" s="2"/>
      <c r="H28" s="2"/>
    </row>
    <row r="29" spans="1:8" x14ac:dyDescent="0.25">
      <c r="A29" s="9" t="s">
        <v>32</v>
      </c>
      <c r="B29" s="2" t="s">
        <v>47</v>
      </c>
      <c r="C29" s="2">
        <v>48</v>
      </c>
      <c r="D29" s="2" t="s">
        <v>9</v>
      </c>
      <c r="E29" s="6"/>
      <c r="F29" s="6"/>
      <c r="G29" s="2"/>
      <c r="H29" s="2" t="s">
        <v>48</v>
      </c>
    </row>
    <row r="30" spans="1:8" x14ac:dyDescent="0.25">
      <c r="A30" s="9" t="s">
        <v>32</v>
      </c>
      <c r="B30" s="2" t="s">
        <v>77</v>
      </c>
      <c r="C30" s="2">
        <v>250</v>
      </c>
      <c r="D30" s="2" t="s">
        <v>9</v>
      </c>
      <c r="E30" s="6"/>
      <c r="F30" s="6"/>
      <c r="G30" s="2"/>
      <c r="H30" s="2"/>
    </row>
    <row r="31" spans="1:8" x14ac:dyDescent="0.25">
      <c r="A31" s="9" t="s">
        <v>32</v>
      </c>
      <c r="B31" s="2" t="s">
        <v>78</v>
      </c>
      <c r="C31" s="2"/>
      <c r="D31" s="2"/>
      <c r="E31" s="6"/>
      <c r="F31" s="6"/>
      <c r="G31" s="2"/>
      <c r="H31" s="2"/>
    </row>
    <row r="32" spans="1:8" x14ac:dyDescent="0.25">
      <c r="A32" s="9" t="s">
        <v>32</v>
      </c>
      <c r="B32" s="2" t="s">
        <v>79</v>
      </c>
      <c r="C32" s="2">
        <v>1</v>
      </c>
      <c r="D32" s="2" t="s">
        <v>52</v>
      </c>
      <c r="E32" s="6">
        <v>69.95</v>
      </c>
      <c r="F32" s="6">
        <f>C32*E32</f>
        <v>69.95</v>
      </c>
      <c r="G32" s="5" t="s">
        <v>16</v>
      </c>
      <c r="H32" s="2" t="s">
        <v>58</v>
      </c>
    </row>
  </sheetData>
  <hyperlinks>
    <hyperlink ref="G5" r:id="rId1" xr:uid="{39831712-2ECB-4199-B56F-E4840BACF375}"/>
    <hyperlink ref="G7" r:id="rId2" xr:uid="{39F52C62-2C65-4769-ABCB-A5176588F8B5}"/>
    <hyperlink ref="G10" r:id="rId3" xr:uid="{B7063941-72D2-4AFC-B2C5-36EDBB67635E}"/>
    <hyperlink ref="G11" r:id="rId4" xr:uid="{F1AA7713-8D33-45BD-AD42-645F4CAC3A5B}"/>
    <hyperlink ref="G15" r:id="rId5" xr:uid="{CD9130B6-3E34-4D80-882D-0B5C95174CB6}"/>
    <hyperlink ref="G12" r:id="rId6" xr:uid="{8AA49080-3CA7-4021-BA9A-A13183FEE9D8}"/>
    <hyperlink ref="G6" r:id="rId7" xr:uid="{A59266F8-9FD2-46DC-A80A-B093D8DF714C}"/>
    <hyperlink ref="G16" r:id="rId8" xr:uid="{FD956658-A542-4C7B-9247-FEDD0600982D}"/>
    <hyperlink ref="G32" r:id="rId9" xr:uid="{36F362C3-EF62-4DD6-BE43-B25596AFD49D}"/>
    <hyperlink ref="G24" r:id="rId10" xr:uid="{49EF6539-39C5-4F79-AA54-440607D617FE}"/>
    <hyperlink ref="G25" r:id="rId11" xr:uid="{4D4A6454-D114-42B1-BDF5-48F04A245EA8}"/>
    <hyperlink ref="G19" r:id="rId12" xr:uid="{990937CE-28ED-4C96-A19E-68EF37542702}"/>
    <hyperlink ref="G21" r:id="rId13" xr:uid="{667FF7B8-D109-4359-B819-1FA412745D28}"/>
    <hyperlink ref="G22" r:id="rId14" xr:uid="{E233421D-6024-4AE5-B4E4-531F3F514A1C}"/>
    <hyperlink ref="G20" r:id="rId15" xr:uid="{4E0790A3-740A-4351-AD65-9371A6522635}"/>
    <hyperlink ref="G23" r:id="rId16" xr:uid="{753B3D2B-9425-4778-B826-64FAF8AD812B}"/>
    <hyperlink ref="G26" r:id="rId17" xr:uid="{22B2D0EF-5DC6-4957-8EEC-2CE4DB06698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53414DE94637BA41B16756DFE4B8D2B8" ma:contentTypeVersion="16" ma:contentTypeDescription="Opret et nyt dokument." ma:contentTypeScope="" ma:versionID="49fd2ca43565d8a844063a34d6114918">
  <xsd:schema xmlns:xsd="http://www.w3.org/2001/XMLSchema" xmlns:xs="http://www.w3.org/2001/XMLSchema" xmlns:p="http://schemas.microsoft.com/office/2006/metadata/properties" xmlns:ns3="38ca45d6-8f85-4c3a-993a-743aa40b1336" xmlns:ns4="b3a9d7bc-3d6e-49e0-996a-e43c1f0bf7ab" targetNamespace="http://schemas.microsoft.com/office/2006/metadata/properties" ma:root="true" ma:fieldsID="1ff96052aa9fc0ac141bf2e3bdbf6a21" ns3:_="" ns4:_="">
    <xsd:import namespace="38ca45d6-8f85-4c3a-993a-743aa40b1336"/>
    <xsd:import namespace="b3a9d7bc-3d6e-49e0-996a-e43c1f0bf7a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ca45d6-8f85-4c3a-993a-743aa40b13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a9d7bc-3d6e-49e0-996a-e43c1f0bf7ab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lt med 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Hashværdi for deling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8ca45d6-8f85-4c3a-993a-743aa40b133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C28F24E-EFE3-4726-B043-086F7EA510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8ca45d6-8f85-4c3a-993a-743aa40b1336"/>
    <ds:schemaRef ds:uri="b3a9d7bc-3d6e-49e0-996a-e43c1f0bf7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23FC16-0305-4970-AE77-B1379828493F}">
  <ds:schemaRefs>
    <ds:schemaRef ds:uri="http://www.w3.org/XML/1998/namespace"/>
    <ds:schemaRef ds:uri="b3a9d7bc-3d6e-49e0-996a-e43c1f0bf7ab"/>
    <ds:schemaRef ds:uri="38ca45d6-8f85-4c3a-993a-743aa40b13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551DD82-85F6-480E-8CF8-03738D4C401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materialeliste</vt:lpstr>
      <vt:lpstr>tagkonstruktion_tagpap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 Baun (Context&amp;)</dc:creator>
  <cp:lastModifiedBy>Kasper Baun (Context&amp;)</cp:lastModifiedBy>
  <dcterms:created xsi:type="dcterms:W3CDTF">2026-05-10T11:05:45Z</dcterms:created>
  <dcterms:modified xsi:type="dcterms:W3CDTF">2026-05-11T06:43:44Z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0x01010053414DE94637BA41B16756DFE4B8D2B8</vt:lpwstr>
  </property>
</Properties>
</file>