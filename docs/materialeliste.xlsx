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us" sheetId="2" state="visible" r:id="rId2"/>
    <sheet xmlns:r="http://schemas.openxmlformats.org/officeDocument/2006/relationships" name="yard" sheetId="3" state="visible" r:id="rId3"/>
    <sheet xmlns:r="http://schemas.openxmlformats.org/officeDocument/2006/relationships" name="sammenligning_beklaedning" sheetId="4" state="visible" r:id="rId4"/>
    <sheet xmlns:r="http://schemas.openxmlformats.org/officeDocument/2006/relationships" name="fundament" sheetId="5" state="visible" r:id="rId5"/>
    <sheet xmlns:r="http://schemas.openxmlformats.org/officeDocument/2006/relationships" name="konstruktion" sheetId="6" state="visible" r:id="rId6"/>
    <sheet xmlns:r="http://schemas.openxmlformats.org/officeDocument/2006/relationships" name="tagkonstruktion_tagpap" sheetId="7" state="visible" r:id="rId7"/>
    <sheet xmlns:r="http://schemas.openxmlformats.org/officeDocument/2006/relationships" name="tagkonstruktion_eternit_b7" sheetId="8" state="visible" r:id="rId8"/>
    <sheet xmlns:r="http://schemas.openxmlformats.org/officeDocument/2006/relationships" name="beklaedning_klink" sheetId="9" state="visible" r:id="rId9"/>
    <sheet xmlns:r="http://schemas.openxmlformats.org/officeDocument/2006/relationships" name="beklaedning_board_on_board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kr&quot;"/>
    <numFmt numFmtId="165" formatCode="#,##0\ &quot;kr&quot;"/>
    <numFmt numFmtId="166" formatCode="#,##0.00 &quot;kr&quot;"/>
    <numFmt numFmtId="167" formatCode="#,##0 &quot;kr&quot;"/>
  </numFmts>
  <fonts count="20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b val="1"/>
      <color rgb="FFFFFFFF"/>
      <sz val="11"/>
    </font>
    <font>
      <name val="Aptos Narrow"/>
      <b val="1"/>
      <sz val="11"/>
    </font>
    <font>
      <name val="Aptos Narrow"/>
      <color rgb="FF0563C1"/>
      <sz val="11"/>
      <u val="single"/>
    </font>
    <font>
      <name val="Aptos Narrow"/>
      <sz val="11"/>
    </font>
    <font>
      <name val="Aptos Narrow"/>
      <b val="1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b val="1"/>
      <color rgb="FFFFFFFF"/>
      <sz val="13"/>
    </font>
    <font>
      <name val="Aptos Narrow"/>
      <b val="1"/>
      <sz val="13"/>
    </font>
    <font>
      <b val="1"/>
      <color rgb="00FFFFFF"/>
      <sz val="11"/>
    </font>
    <font>
      <b val="1"/>
    </font>
    <font>
      <color rgb="000563C1"/>
      <u val="single"/>
    </font>
    <font/>
    <font>
      <b val="1"/>
      <sz val="11"/>
    </font>
    <font>
      <b val="1"/>
      <color rgb="00FFFFFF"/>
      <sz val="14"/>
    </font>
    <font>
      <b val="1"/>
      <sz val="12"/>
    </font>
    <font>
      <b val="1"/>
      <color rgb="00FFFFFF"/>
      <sz val="13"/>
    </font>
    <font>
      <b val="1"/>
      <sz val="13"/>
    </font>
  </fonts>
  <fills count="2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8EA9DB"/>
      </patternFill>
    </fill>
    <fill>
      <patternFill patternType="solid">
        <fgColor rgb="FFFFE5D9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BE5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EEBF7"/>
      </patternFill>
    </fill>
    <fill>
      <patternFill patternType="solid">
        <fgColor rgb="008EA9DB"/>
      </patternFill>
    </fill>
    <fill>
      <patternFill patternType="solid">
        <fgColor rgb="00FFE5D9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149">
    <xf numFmtId="0" fontId="0" fillId="0" borderId="0" pivotButton="0" quotePrefix="0" xfId="0"/>
    <xf numFmtId="4" fontId="0" fillId="0" borderId="0" pivotButton="0" quotePrefix="0" xfId="0"/>
    <xf numFmtId="0" fontId="1" fillId="0" borderId="0" pivotButton="0" quotePrefix="0" xfId="1"/>
    <xf numFmtId="0" fontId="3" fillId="0" borderId="0" pivotButton="0" quotePrefix="0" xfId="0"/>
    <xf numFmtId="0" fontId="3" fillId="8" borderId="0" applyAlignment="1" pivotButton="0" quotePrefix="0" xfId="0">
      <alignment horizontal="center"/>
    </xf>
    <xf numFmtId="0" fontId="3" fillId="11" borderId="0" applyAlignment="1" pivotButton="0" quotePrefix="0" xfId="0">
      <alignment horizontal="center"/>
    </xf>
    <xf numFmtId="0" fontId="3" fillId="3" borderId="1" pivotButton="0" quotePrefix="0" xfId="0"/>
    <xf numFmtId="164" fontId="0" fillId="0" borderId="1" applyAlignment="1" pivotButton="0" quotePrefix="0" xfId="0">
      <alignment horizontal="right"/>
    </xf>
    <xf numFmtId="0" fontId="3" fillId="6" borderId="1" pivotButton="0" quotePrefix="0" xfId="0"/>
    <xf numFmtId="0" fontId="3" fillId="4" borderId="1" pivotButton="0" quotePrefix="0" xfId="0"/>
    <xf numFmtId="0" fontId="8" fillId="5" borderId="1" applyAlignment="1" pivotButton="0" quotePrefix="0" xfId="0">
      <alignment horizontal="right"/>
    </xf>
    <xf numFmtId="164" fontId="8" fillId="5" borderId="1" applyAlignment="1" pivotButton="0" quotePrefix="0" xfId="0">
      <alignment horizontal="right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11" borderId="1" applyAlignment="1" pivotButton="0" quotePrefix="0" xfId="0">
      <alignment horizontal="right"/>
    </xf>
    <xf numFmtId="164" fontId="0" fillId="13" borderId="1" applyAlignment="1" pivotButton="0" quotePrefix="0" xfId="0">
      <alignment horizontal="right"/>
    </xf>
    <xf numFmtId="0" fontId="3" fillId="7" borderId="1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4" fontId="3" fillId="5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/>
    </xf>
    <xf numFmtId="164" fontId="3" fillId="0" borderId="1" pivotButton="0" quotePrefix="0" xfId="0"/>
    <xf numFmtId="0" fontId="3" fillId="7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3" borderId="1" pivotButton="0" quotePrefix="0" xfId="0"/>
    <xf numFmtId="0" fontId="0" fillId="3" borderId="1" pivotButton="0" quotePrefix="0" xfId="0"/>
    <xf numFmtId="4" fontId="3" fillId="5" borderId="1" applyAlignment="1" pivotButton="0" quotePrefix="0" xfId="0">
      <alignment horizontal="right"/>
    </xf>
    <xf numFmtId="164" fontId="6" fillId="5" borderId="1" pivotButton="0" quotePrefix="0" xfId="0"/>
    <xf numFmtId="4" fontId="3" fillId="6" borderId="1" applyAlignment="1" pivotButton="0" quotePrefix="0" xfId="0">
      <alignment horizontal="right"/>
    </xf>
    <xf numFmtId="164" fontId="3" fillId="6" borderId="1" pivotButton="0" quotePrefix="0" xfId="0"/>
    <xf numFmtId="4" fontId="3" fillId="7" borderId="1" applyAlignment="1" pivotButton="0" quotePrefix="0" xfId="0">
      <alignment horizontal="right"/>
    </xf>
    <xf numFmtId="164" fontId="3" fillId="7" borderId="1" pivotButton="0" quotePrefix="0" xfId="0"/>
    <xf numFmtId="4" fontId="3" fillId="4" borderId="1" applyAlignment="1" pivotButton="0" quotePrefix="0" xfId="0">
      <alignment horizontal="right"/>
    </xf>
    <xf numFmtId="164" fontId="3" fillId="4" borderId="1" pivotButton="0" quotePrefix="0" xfId="0"/>
    <xf numFmtId="0" fontId="5" fillId="6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0" fontId="3" fillId="8" borderId="1" pivotButton="0" quotePrefix="0" xfId="0"/>
    <xf numFmtId="0" fontId="5" fillId="8" borderId="1" pivotButton="0" quotePrefix="0" xfId="0"/>
    <xf numFmtId="0" fontId="0" fillId="8" borderId="1" pivotButton="0" quotePrefix="0" xfId="0"/>
    <xf numFmtId="0" fontId="3" fillId="9" borderId="1" pivotButton="0" quotePrefix="0" xfId="0"/>
    <xf numFmtId="0" fontId="5" fillId="9" borderId="1" pivotButton="0" quotePrefix="0" xfId="0"/>
    <xf numFmtId="0" fontId="0" fillId="9" borderId="1" pivotButton="0" quotePrefix="0" xfId="0"/>
    <xf numFmtId="0" fontId="3" fillId="10" borderId="1" pivotButton="0" quotePrefix="0" xfId="0"/>
    <xf numFmtId="0" fontId="5" fillId="10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0" fillId="11" borderId="1" pivotButton="0" quotePrefix="0" xfId="0"/>
    <xf numFmtId="0" fontId="3" fillId="7" borderId="1" pivotButton="0" quotePrefix="0" xfId="0"/>
    <xf numFmtId="0" fontId="5" fillId="7" borderId="1" pivotButton="0" quotePrefix="0" xfId="0"/>
    <xf numFmtId="0" fontId="0" fillId="7" borderId="1" pivotButton="0" quotePrefix="0" xfId="0"/>
    <xf numFmtId="0" fontId="3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right"/>
    </xf>
    <xf numFmtId="0" fontId="3" fillId="9" borderId="1" applyAlignment="1" pivotButton="0" quotePrefix="0" xfId="0">
      <alignment horizontal="right"/>
    </xf>
    <xf numFmtId="0" fontId="10" fillId="5" borderId="1" applyAlignment="1" pivotButton="0" quotePrefix="0" xfId="0">
      <alignment horizontal="right"/>
    </xf>
    <xf numFmtId="164" fontId="10" fillId="5" borderId="1" pivotButton="0" quotePrefix="0" xfId="0"/>
    <xf numFmtId="0" fontId="7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12" borderId="0" pivotButton="0" quotePrefix="0" xfId="0"/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9" fillId="2" borderId="0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0" fillId="9" borderId="1" pivotButton="0" quotePrefix="0" xfId="0"/>
    <xf numFmtId="0" fontId="8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6" fillId="14" borderId="0" applyAlignment="1" pivotButton="0" quotePrefix="0" xfId="0">
      <alignment horizontal="left" vertical="center"/>
    </xf>
    <xf numFmtId="0" fontId="12" fillId="0" borderId="0" pivotButton="0" quotePrefix="0" xfId="0"/>
    <xf numFmtId="0" fontId="12" fillId="20" borderId="0" applyAlignment="1" pivotButton="0" quotePrefix="0" xfId="0">
      <alignment horizontal="center"/>
    </xf>
    <xf numFmtId="0" fontId="12" fillId="23" borderId="0" applyAlignment="1" pivotButton="0" quotePrefix="0" xfId="0">
      <alignment horizontal="center"/>
    </xf>
    <xf numFmtId="0" fontId="11" fillId="24" borderId="0" pivotButton="0" quotePrefix="0" xfId="0"/>
    <xf numFmtId="0" fontId="12" fillId="15" borderId="6" pivotButton="0" quotePrefix="0" xfId="0"/>
    <xf numFmtId="166" fontId="0" fillId="0" borderId="6" applyAlignment="1" pivotButton="0" quotePrefix="0" xfId="0">
      <alignment horizontal="right"/>
    </xf>
    <xf numFmtId="0" fontId="12" fillId="16" borderId="6" pivotButton="0" quotePrefix="0" xfId="0"/>
    <xf numFmtId="0" fontId="12" fillId="18" borderId="6" pivotButton="0" quotePrefix="0" xfId="0"/>
    <xf numFmtId="0" fontId="17" fillId="19" borderId="6" applyAlignment="1" pivotButton="0" quotePrefix="0" xfId="0">
      <alignment horizontal="right"/>
    </xf>
    <xf numFmtId="166" fontId="17" fillId="19" borderId="6" applyAlignment="1" pivotButton="0" quotePrefix="0" xfId="0">
      <alignment horizontal="right"/>
    </xf>
    <xf numFmtId="0" fontId="12" fillId="20" borderId="6" applyAlignment="1" pivotButton="0" quotePrefix="0" xfId="0">
      <alignment horizontal="center"/>
    </xf>
    <xf numFmtId="0" fontId="12" fillId="21" borderId="6" applyAlignment="1" pivotButton="0" quotePrefix="0" xfId="0">
      <alignment horizontal="center"/>
    </xf>
    <xf numFmtId="0" fontId="12" fillId="0" borderId="6" applyAlignment="1" pivotButton="0" quotePrefix="0" xfId="0">
      <alignment horizontal="center"/>
    </xf>
    <xf numFmtId="0" fontId="12" fillId="23" borderId="6" applyAlignment="1" pivotButton="0" quotePrefix="0" xfId="0">
      <alignment horizontal="right"/>
    </xf>
    <xf numFmtId="166" fontId="0" fillId="25" borderId="6" applyAlignment="1" pivotButton="0" quotePrefix="0" xfId="0">
      <alignment horizontal="right"/>
    </xf>
    <xf numFmtId="0" fontId="12" fillId="17" borderId="6" applyAlignment="1" pivotButton="0" quotePrefix="0" xfId="0">
      <alignment horizontal="right"/>
    </xf>
    <xf numFmtId="0" fontId="12" fillId="18" borderId="6" applyAlignment="1" pivotButton="0" quotePrefix="0" xfId="0">
      <alignment horizontal="right"/>
    </xf>
    <xf numFmtId="0" fontId="0" fillId="0" borderId="6" pivotButton="0" quotePrefix="0" xfId="0"/>
    <xf numFmtId="0" fontId="18" fillId="14" borderId="0" applyAlignment="1" pivotButton="0" quotePrefix="0" xfId="0">
      <alignment horizontal="left" vertical="center"/>
    </xf>
    <xf numFmtId="0" fontId="11" fillId="14" borderId="6" applyAlignment="1" pivotButton="0" quotePrefix="0" xfId="0">
      <alignment horizontal="left" vertical="center"/>
    </xf>
    <xf numFmtId="0" fontId="17" fillId="15" borderId="6" applyAlignment="1" pivotButton="0" quotePrefix="0" xfId="0">
      <alignment horizontal="left" vertical="center"/>
    </xf>
    <xf numFmtId="0" fontId="0" fillId="15" borderId="6" pivotButton="0" quotePrefix="0" xfId="0"/>
    <xf numFmtId="0" fontId="0" fillId="0" borderId="6" applyAlignment="1" pivotButton="0" quotePrefix="0" xfId="0">
      <alignment horizontal="center"/>
    </xf>
    <xf numFmtId="4" fontId="0" fillId="0" borderId="6" pivotButton="0" quotePrefix="0" xfId="0"/>
    <xf numFmtId="0" fontId="13" fillId="0" borderId="6" pivotButton="0" quotePrefix="0" xfId="0"/>
    <xf numFmtId="0" fontId="0" fillId="0" borderId="6" applyAlignment="1" pivotButton="0" quotePrefix="0" xfId="0">
      <alignment vertical="center"/>
    </xf>
    <xf numFmtId="0" fontId="12" fillId="16" borderId="6" applyAlignment="1" pivotButton="0" quotePrefix="0" xfId="0">
      <alignment horizontal="center"/>
    </xf>
    <xf numFmtId="0" fontId="12" fillId="18" borderId="6" applyAlignment="1" pivotButton="0" quotePrefix="0" xfId="0">
      <alignment horizontal="center"/>
    </xf>
    <xf numFmtId="0" fontId="12" fillId="15" borderId="6" applyAlignment="1" pivotButton="0" quotePrefix="0" xfId="0">
      <alignment horizontal="right"/>
    </xf>
    <xf numFmtId="166" fontId="12" fillId="19" borderId="6" pivotButton="0" quotePrefix="0" xfId="0"/>
    <xf numFmtId="0" fontId="17" fillId="16" borderId="6" applyAlignment="1" pivotButton="0" quotePrefix="0" xfId="0">
      <alignment horizontal="left" vertical="center"/>
    </xf>
    <xf numFmtId="0" fontId="0" fillId="16" borderId="6" pivotButton="0" quotePrefix="0" xfId="0"/>
    <xf numFmtId="0" fontId="12" fillId="16" borderId="6" applyAlignment="1" pivotButton="0" quotePrefix="0" xfId="0">
      <alignment horizontal="right"/>
    </xf>
    <xf numFmtId="0" fontId="17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12" fillId="21" borderId="6" pivotButton="0" quotePrefix="0" xfId="0"/>
    <xf numFmtId="0" fontId="12" fillId="21" borderId="6" applyAlignment="1" pivotButton="0" quotePrefix="0" xfId="0">
      <alignment horizontal="right"/>
    </xf>
    <xf numFmtId="0" fontId="17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pivotButton="0" quotePrefix="0" xfId="0"/>
    <xf numFmtId="0" fontId="19" fillId="19" borderId="6" applyAlignment="1" pivotButton="0" quotePrefix="0" xfId="0">
      <alignment horizontal="right"/>
    </xf>
    <xf numFmtId="166" fontId="19" fillId="19" borderId="6" pivotButton="0" quotePrefix="0" xfId="0"/>
    <xf numFmtId="0" fontId="12" fillId="17" borderId="6" applyAlignment="1" pivotButton="0" quotePrefix="0" xfId="0">
      <alignment horizontal="center"/>
    </xf>
    <xf numFmtId="0" fontId="11" fillId="14" borderId="6" applyAlignment="1" pivotButton="0" quotePrefix="0" xfId="0">
      <alignment horizontal="center" vertical="center"/>
    </xf>
    <xf numFmtId="0" fontId="12" fillId="23" borderId="6" applyAlignment="1" pivotButton="0" quotePrefix="0" xfId="0">
      <alignment horizontal="center"/>
    </xf>
    <xf numFmtId="0" fontId="0" fillId="0" borderId="6" applyAlignment="1" pivotButton="0" quotePrefix="0" xfId="0">
      <alignment horizontal="right"/>
    </xf>
    <xf numFmtId="166" fontId="0" fillId="0" borderId="6" pivotButton="0" quotePrefix="0" xfId="0"/>
    <xf numFmtId="167" fontId="0" fillId="0" borderId="6" pivotButton="0" quotePrefix="0" xfId="0"/>
    <xf numFmtId="166" fontId="12" fillId="0" borderId="6" pivotButton="0" quotePrefix="0" xfId="0"/>
    <xf numFmtId="0" fontId="14" fillId="15" borderId="6" pivotButton="0" quotePrefix="0" xfId="0"/>
    <xf numFmtId="4" fontId="12" fillId="19" borderId="6" applyAlignment="1" pivotButton="0" quotePrefix="0" xfId="0">
      <alignment horizontal="right"/>
    </xf>
    <xf numFmtId="166" fontId="15" fillId="19" borderId="6" pivotButton="0" quotePrefix="0" xfId="0"/>
    <xf numFmtId="4" fontId="12" fillId="16" borderId="6" applyAlignment="1" pivotButton="0" quotePrefix="0" xfId="0">
      <alignment horizontal="right"/>
    </xf>
    <xf numFmtId="166" fontId="12" fillId="16" borderId="6" pivotButton="0" quotePrefix="0" xfId="0"/>
    <xf numFmtId="4" fontId="12" fillId="17" borderId="6" applyAlignment="1" pivotButton="0" quotePrefix="0" xfId="0">
      <alignment horizontal="right"/>
    </xf>
    <xf numFmtId="166" fontId="12" fillId="17" borderId="6" pivotButton="0" quotePrefix="0" xfId="0"/>
    <xf numFmtId="4" fontId="12" fillId="18" borderId="6" applyAlignment="1" pivotButton="0" quotePrefix="0" xfId="0">
      <alignment horizontal="right"/>
    </xf>
    <xf numFmtId="166" fontId="12" fillId="18" borderId="6" pivotButton="0" quotePrefix="0" xfId="0"/>
    <xf numFmtId="0" fontId="14" fillId="16" borderId="6" pivotButton="0" quotePrefix="0" xfId="0"/>
    <xf numFmtId="0" fontId="12" fillId="20" borderId="6" pivotButton="0" quotePrefix="0" xfId="0"/>
    <xf numFmtId="0" fontId="14" fillId="20" borderId="6" pivotButton="0" quotePrefix="0" xfId="0"/>
    <xf numFmtId="0" fontId="0" fillId="20" borderId="6" pivotButton="0" quotePrefix="0" xfId="0"/>
    <xf numFmtId="0" fontId="14" fillId="21" borderId="6" pivotButton="0" quotePrefix="0" xfId="0"/>
    <xf numFmtId="0" fontId="12" fillId="22" borderId="6" pivotButton="0" quotePrefix="0" xfId="0"/>
    <xf numFmtId="0" fontId="14" fillId="22" borderId="6" pivotButton="0" quotePrefix="0" xfId="0"/>
    <xf numFmtId="0" fontId="14" fillId="23" borderId="6" pivotButton="0" quotePrefix="0" xfId="0"/>
    <xf numFmtId="0" fontId="12" fillId="17" borderId="6" pivotButton="0" quotePrefix="0" xfId="0"/>
    <xf numFmtId="0" fontId="14" fillId="17" borderId="6" pivotButton="0" quotePrefix="0" xfId="0"/>
    <xf numFmtId="0" fontId="0" fillId="17" borderId="6" pivotButton="0" quotePrefix="0" xfId="0"/>
  </cellXfs>
  <cellStyles count="2">
    <cellStyle name="Normal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www.jemogfix.dk/fundablok-graa-15-x-20-x-50-cm/4176/9033558/" TargetMode="External" Id="rId2"/><Relationship Type="http://schemas.openxmlformats.org/officeDocument/2006/relationships/hyperlink" Target="https://www.jemogfix.dk/kamstaal-8-mm-x-3-meter/4164/9042660/" TargetMode="External" Id="rId3"/><Relationship Type="http://schemas.openxmlformats.org/officeDocument/2006/relationships/hyperlink" Target="https://www.jemogfix.dk/aalborg-portland-basis-aalborg-cement-25-kg/4170/9814769/" TargetMode="External" Id="rId4"/><Relationship Type="http://schemas.openxmlformats.org/officeDocument/2006/relationships/hyperlink" Target="https://materialepladsen.dk/produkter/grus/Stoebemix0-16mm" TargetMode="External" Id="rId5"/><Relationship Type="http://schemas.openxmlformats.org/officeDocument/2006/relationships/hyperlink" Target="https://www.jemogfix.dk/nkt-fasteners-gevindstang-m10-x-1000-mm/5116/9711834/" TargetMode="External" Id="rId6"/><Relationship Type="http://schemas.openxmlformats.org/officeDocument/2006/relationships/hyperlink" Target="https://www.jemogfix.dk/nkt-fasteners-moetrik-elforzinket-m10-12-stk/5118/9513052/" TargetMode="External" Id="rId7"/><Relationship Type="http://schemas.openxmlformats.org/officeDocument/2006/relationships/hyperlink" Target="https://www.jemogfix.dk/phoenix-murpap-11-cm-x-20-meter/4210/9036209/" TargetMode="External" Id="rId8"/><Relationship Type="http://schemas.openxmlformats.org/officeDocument/2006/relationships/hyperlink" Target="https://www.jemogfix.dk/impraegneret-reglar-45-x-95-x-3600-mm/4310/9057360/" TargetMode="External" Id="rId9"/><Relationship Type="http://schemas.openxmlformats.org/officeDocument/2006/relationships/hyperlink" Target="https://www.jemogfix.dk/impraegneret-reglar-45-x-95-x-2400-mm/4310/9057358/" TargetMode="External" Id="rId10"/><Relationship Type="http://schemas.openxmlformats.org/officeDocument/2006/relationships/hyperlink" Target="https://www.jemogfix.dk/reglar-47-x-100-x-3600-mm/4110/9057297/" TargetMode="External" Id="rId11"/><Relationship Type="http://schemas.openxmlformats.org/officeDocument/2006/relationships/hyperlink" Target="https://www.jemogfix.dk/reglar-47-x-100-x-2400-mm/4110/9057295/" TargetMode="External" Id="rId12"/><Relationship Type="http://schemas.openxmlformats.org/officeDocument/2006/relationships/hyperlink" Target="https://www.jemogfix.dk/reglar-47-x-100-x-3000-mm/4110/9057296/" TargetMode="External" Id="rId13"/><Relationship Type="http://schemas.openxmlformats.org/officeDocument/2006/relationships/hyperlink" Target="https://www.10-4.dk/varer/byggematerialer/trae/laegter/38x73mm-taglaegte-c18-1731038073" TargetMode="External" Id="rId14"/><Relationship Type="http://schemas.openxmlformats.org/officeDocument/2006/relationships/hyperlink" Target="https://www.xl-byg.dk/produkt/xl-byg-ru-sternbraet-over-trykimpraegneret-25-x-125-x-3600-mm-1143025122-0360" TargetMode="External" Id="rId15"/><Relationship Type="http://schemas.openxmlformats.org/officeDocument/2006/relationships/hyperlink" Target="https://www.bygxtra.dk/produkter/swisspearl-boelgeplade-b7-fk-i-sortblaa-1100x570-mm-1617012" TargetMode="External" Id="rId16"/><Relationship Type="http://schemas.openxmlformats.org/officeDocument/2006/relationships/hyperlink" Target="https://www.davidsen.dk/swisspearl-100-tagskrue-m-taetningsskive-6x100-mm-graa-100-stk-c-id525046-p-51601506116" TargetMode="External" Id="rId17"/><Relationship Type="http://schemas.openxmlformats.org/officeDocument/2006/relationships/hyperlink" Target="https://wood-online.dk/shop/paslode-vinkelbeslag-542p.html" TargetMode="External" Id="rId18"/><Relationship Type="http://schemas.openxmlformats.org/officeDocument/2006/relationships/hyperlink" Target="https://www.jemogfix.dk/klinkbeklaedning-sortmalet/4115/9023155/" TargetMode="External" Id="rId19"/><Relationship Type="http://schemas.openxmlformats.org/officeDocument/2006/relationships/hyperlink" Target="https://www.jemogfix.dk/phoenix-isoleringspap-rf-650-1-0-x-20-meter/4210/9358237/" TargetMode="External" Id="rId20"/><Relationship Type="http://schemas.openxmlformats.org/officeDocument/2006/relationships/hyperlink" Target="https://www.jemogfix.dk/impraegneret-forskalling-fyr-25-x-50-x-4200-mm/4310/9063674/" TargetMode="External" Id="rId21"/><Relationship Type="http://schemas.openxmlformats.org/officeDocument/2006/relationships/hyperlink" Target="https://www.jemogfix.dk/reglar-47-x-50-x-3000-mm/4110/9052623/" TargetMode="External" Id="rId22"/><Relationship Type="http://schemas.openxmlformats.org/officeDocument/2006/relationships/hyperlink" Target="https://www.jemogfix.dk/glasuld-isover-basic-ruller-95-mm/4180/9039070/" TargetMode="External" Id="rId23"/></Relationships>
</file>

<file path=xl/worksheets/_rels/sheet3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www.jemogfix.dk/fundablok-graa-15-x-20-x-50-cm/4176/9033558/" TargetMode="External" Id="rId2"/><Relationship Type="http://schemas.openxmlformats.org/officeDocument/2006/relationships/hyperlink" Target="https://www.jemogfix.dk/kamstaal-8-mm-x-3-meter/4164/9042660/" TargetMode="External" Id="rId3"/><Relationship Type="http://schemas.openxmlformats.org/officeDocument/2006/relationships/hyperlink" Target="https://www.jemogfix.dk/aalborg-portland-basis-aalborg-cement-25-kg/4170/9814769/" TargetMode="External" Id="rId4"/><Relationship Type="http://schemas.openxmlformats.org/officeDocument/2006/relationships/hyperlink" Target="https://materialepladsen.dk/produkter/grus/Stoebemix0-16mm" TargetMode="External" Id="rId5"/><Relationship Type="http://schemas.openxmlformats.org/officeDocument/2006/relationships/hyperlink" Target="https://www.jemogfix.dk/nkt-fasteners-gevindstang-m10-x-1000-mm/5116/9711834/" TargetMode="External" Id="rId6"/><Relationship Type="http://schemas.openxmlformats.org/officeDocument/2006/relationships/hyperlink" Target="https://www.jemogfix.dk/nkt-fasteners-moetrik-elforzinket-m10-12-stk/5118/9513052/" TargetMode="External" Id="rId7"/><Relationship Type="http://schemas.openxmlformats.org/officeDocument/2006/relationships/hyperlink" Target="https://www.jemogfix.dk/phoenix-murpap-11-cm-x-20-meter/4210/9036209/" TargetMode="External" Id="rId8"/><Relationship Type="http://schemas.openxmlformats.org/officeDocument/2006/relationships/hyperlink" Target="https://www.jemogfix.dk/impraegneret-reglar-45-x-95-x-3600-mm/4310/9057360/" TargetMode="External" Id="rId9"/><Relationship Type="http://schemas.openxmlformats.org/officeDocument/2006/relationships/hyperlink" Target="https://www.jemogfix.dk/impraegneret-reglar-45-x-95-x-2400-mm/4310/9057358/" TargetMode="External" Id="rId10"/><Relationship Type="http://schemas.openxmlformats.org/officeDocument/2006/relationships/hyperlink" Target="https://www.jemogfix.dk/reglar-47-x-100-x-3600-mm/4110/9057297/" TargetMode="External" Id="rId11"/><Relationship Type="http://schemas.openxmlformats.org/officeDocument/2006/relationships/hyperlink" Target="https://www.jemogfix.dk/reglar-47-x-100-x-3600-mm/4110/9057297/" TargetMode="External" Id="rId12"/><Relationship Type="http://schemas.openxmlformats.org/officeDocument/2006/relationships/hyperlink" Target="https://www.jemogfix.dk/reglar-47-x-100-x-2400-mm/4110/9057295/" TargetMode="External" Id="rId13"/><Relationship Type="http://schemas.openxmlformats.org/officeDocument/2006/relationships/hyperlink" Target="https://www.jemogfix.dk/reglar-47-x-100-x-3000-mm/4110/9057296/" TargetMode="External" Id="rId14"/><Relationship Type="http://schemas.openxmlformats.org/officeDocument/2006/relationships/hyperlink" Target="https://www.10-4.dk/varer/byggematerialer/trae/laegter/38x73mm-taglaegte-c18-1731038073" TargetMode="External" Id="rId15"/><Relationship Type="http://schemas.openxmlformats.org/officeDocument/2006/relationships/hyperlink" Target="https://www.xl-byg.dk/produkt/xl-byg-ru-sternbraet-over-trykimpraegneret-25-x-125-x-3600-mm-1143025122-0360" TargetMode="External" Id="rId16"/><Relationship Type="http://schemas.openxmlformats.org/officeDocument/2006/relationships/hyperlink" Target="https://www.bygxtra.dk/produkter/swisspearl-boelgeplade-b7-fk-i-sortblaa-1100x570-mm-1617012" TargetMode="External" Id="rId17"/><Relationship Type="http://schemas.openxmlformats.org/officeDocument/2006/relationships/hyperlink" Target="https://www.davidsen.dk/swisspearl-100-tagskrue-m-taetningsskive-6x100-mm-graa-100-stk-c-id525046-p-51601506116" TargetMode="External" Id="rId18"/><Relationship Type="http://schemas.openxmlformats.org/officeDocument/2006/relationships/hyperlink" Target="https://wood-online.dk/shop/paslode-vinkelbeslag-542p.html" TargetMode="External" Id="rId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jemogfix.dk/impraegneret-klinkbeklaedning-gran-25-x-125-x-3600-mm/" TargetMode="External" Id="rId1"/><Relationship Type="http://schemas.openxmlformats.org/officeDocument/2006/relationships/hyperlink" Target="https://www.jemogfix.dk/klinkbeklaedning-sortmalet/4115/9023155/" TargetMode="External" Id="rId2"/><Relationship Type="http://schemas.openxmlformats.org/officeDocument/2006/relationships/hyperlink" Target="https://arossavvaerk.dk/vare/1-paa-2-beklaedning-svensk-gran/" TargetMode="External" Id="rId3"/><Relationship Type="http://schemas.openxmlformats.org/officeDocument/2006/relationships/hyperlink" Target="https://www.jemogfix.dk/beklaedning-lodret-sort-25-x-125-x-3000-mm-4-pk/4115/9064083/" TargetMode="External" Id="rId4"/><Relationship Type="http://schemas.openxmlformats.org/officeDocument/2006/relationships/hyperlink" Target="https://www.jemogfix.dk/hoevlet-forskalling-22-x-100-x-3600-mm/4230/9057349/" TargetMode="External" Id="rId5"/><Relationship Type="http://schemas.openxmlformats.org/officeDocument/2006/relationships/hyperlink" Target="https://www.jemogfix.dk/impraegnerede-braedder-fyr-25-x-125-x-3600-mm/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materialepladsen.dk/produkter/grus/Stabilgrus0-32mm" TargetMode="External" Id="rId2"/><Relationship Type="http://schemas.openxmlformats.org/officeDocument/2006/relationships/hyperlink" Target="https://www.jemogfix.dk/fundablok-graa-15-x-20-x-50-cm/4176/9033558/" TargetMode="External" Id="rId3"/><Relationship Type="http://schemas.openxmlformats.org/officeDocument/2006/relationships/hyperlink" Target="https://www.jemogfix.dk/fundablok-graa-15-x-20-x-50-cm/4176/9033558/" TargetMode="External" Id="rId4"/><Relationship Type="http://schemas.openxmlformats.org/officeDocument/2006/relationships/hyperlink" Target="https://www.jemogfix.dk/kamstaal-8-mm-x-3-meter/4164/9042660/" TargetMode="External" Id="rId5"/><Relationship Type="http://schemas.openxmlformats.org/officeDocument/2006/relationships/hyperlink" Target="https://www.jemogfix.dk/kamstaal-8-mm-x-3-meter/4164/9042660/" TargetMode="External" Id="rId6"/><Relationship Type="http://schemas.openxmlformats.org/officeDocument/2006/relationships/hyperlink" Target="https://www.jemogfix.dk/aalborg-portland-basis-aalborg-cement-25-kg/4170/9814769/" TargetMode="External" Id="rId7"/><Relationship Type="http://schemas.openxmlformats.org/officeDocument/2006/relationships/hyperlink" Target="https://www.jemogfix.dk/aalborg-portland-basis-aalborg-cement-25-kg/4170/9814769/" TargetMode="External" Id="rId8"/><Relationship Type="http://schemas.openxmlformats.org/officeDocument/2006/relationships/hyperlink" Target="https://materialepladsen.dk/produkter/grus/Stoebemix0-16mm" TargetMode="External" Id="rId9"/><Relationship Type="http://schemas.openxmlformats.org/officeDocument/2006/relationships/hyperlink" Target="https://materialepladsen.dk/produkter/grus/Stoebemix0-16mm" TargetMode="External" Id="rId10"/><Relationship Type="http://schemas.openxmlformats.org/officeDocument/2006/relationships/hyperlink" Target="https://www.jemogfix.dk/nkt-fasteners-gevindstang-m10-x-1000-mm/5116/9711834/" TargetMode="External" Id="rId11"/><Relationship Type="http://schemas.openxmlformats.org/officeDocument/2006/relationships/hyperlink" Target="https://www.jemogfix.dk/nkt-fasteners-gevindstang-m10-x-1000-mm/5116/9711834/" TargetMode="External" Id="rId12"/><Relationship Type="http://schemas.openxmlformats.org/officeDocument/2006/relationships/hyperlink" Target="https://www.jemogfix.dk/nkt-fasteners-moetrik-elforzinket-m10-12-stk/5118/9513052/" TargetMode="External" Id="rId1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jemogfix.dk/phoenix-murpap-11-cm-x-20-meter/4210/9036209/" TargetMode="External" Id="rId1"/><Relationship Type="http://schemas.openxmlformats.org/officeDocument/2006/relationships/hyperlink" Target="https://www.jemogfix.dk/impraegneret-reglar-45-x-95-x-3600-mm/4310/9057360/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jemogfix.dk/impraegneret-reglar-45-x-95-x-2400-mm/4310/9057358/" TargetMode="External" Id="rId4"/><Relationship Type="http://schemas.openxmlformats.org/officeDocument/2006/relationships/hyperlink" Target="https://www.jemogfix.dk/reglar-47-x-100-x-3600-mm/4110/9057297/" TargetMode="External" Id="rId5"/><Relationship Type="http://schemas.openxmlformats.org/officeDocument/2006/relationships/hyperlink" Target="https://www.jemogfix.dk/reglar-47-x-100-x-3600-mm/4110/9057297/" TargetMode="External" Id="rId6"/><Relationship Type="http://schemas.openxmlformats.org/officeDocument/2006/relationships/hyperlink" Target="https://www.jemogfix.dk/reglar-47-x-100-x-2400-mm/4110/9057295/" TargetMode="External" Id="rId7"/><Relationship Type="http://schemas.openxmlformats.org/officeDocument/2006/relationships/hyperlink" Target="https://www.jemogfix.dk/reglar-47-x-100-x-2400-mm/4110/9057295/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jemogfix.dk/osb-3-plade-tg4-18-mm-2397-x-600-mm/4138/9050213/" TargetMode="External" Id="rId3"/><Relationship Type="http://schemas.openxmlformats.org/officeDocument/2006/relationships/hyperlink" Target="https://www.jemogfix.dk/osb-3-plade-tg4-18-mm-2397-x-600-mm/4138/9050213/" TargetMode="External" Id="rId4"/><Relationship Type="http://schemas.openxmlformats.org/officeDocument/2006/relationships/hyperlink" Target="https://www.jemogfix.dk/impraegneret-stern-mellem-21-x-120-x-3600-mm/4321/9057378/" TargetMode="External" Id="rId5"/><Relationship Type="http://schemas.openxmlformats.org/officeDocument/2006/relationships/hyperlink" Target="https://www.jemogfix.dk/impraegneret-stern-mellem-21-x-120-x-3600-mm/4321/9057378/" TargetMode="External" Id="rId6"/><Relationship Type="http://schemas.openxmlformats.org/officeDocument/2006/relationships/hyperlink" Target="https://www.jemogfix.dk/phoenix-selvbyggerpap-1-x-5-meter/4210/9021085/" TargetMode="External" Id="rId7"/><Relationship Type="http://schemas.openxmlformats.org/officeDocument/2006/relationships/hyperlink" Target="https://www.jemogfix.dk/phoenix-selvbyggerpap-1-x-5-meter/4210/9021085/" TargetMode="External" Id="rId8"/><Relationship Type="http://schemas.openxmlformats.org/officeDocument/2006/relationships/hyperlink" Target="https://www.jemogfix.dk/phoenix-klaebeasfalt-310-ml/4211/9014391/" TargetMode="External" Id="rId9"/><Relationship Type="http://schemas.openxmlformats.org/officeDocument/2006/relationships/hyperlink" Target="https://www.jemogfix.dk/phoenix-klaebeasfalt-310-ml/4211/9014391/" TargetMode="External" Id="rId10"/><Relationship Type="http://schemas.openxmlformats.org/officeDocument/2006/relationships/hyperlink" Target="https://www.jemogfix.dk/phoenix-murpap-15-cm-x-20-meter/4210/9060998/" TargetMode="External" Id="rId11"/><Relationship Type="http://schemas.openxmlformats.org/officeDocument/2006/relationships/hyperlink" Target="https://www.jemogfix.dk/tagfod-sort-aluminium-55-x-80-x-1000-mm/4210/9058507/" TargetMode="External" Id="rId12"/><Relationship Type="http://schemas.openxmlformats.org/officeDocument/2006/relationships/hyperlink" Target="https://www.jemogfix.dk/tagfod-sort-aluminium-55-x-80-x-1000-mm/4210/9058507/" TargetMode="External" Id="rId13"/><Relationship Type="http://schemas.openxmlformats.org/officeDocument/2006/relationships/hyperlink" Target="https://www.jemogfix.dk/sternkapsel-lige-sort-35-x-25-mm-x-100-cm/4210/9062741/" TargetMode="External" Id="rId14"/><Relationship Type="http://schemas.openxmlformats.org/officeDocument/2006/relationships/hyperlink" Target="https://www.jemogfix.dk/sternkapsel-lige-sort-35-x-25-mm-x-100-cm/4210/9062741/" TargetMode="External" Id="rId15"/><Relationship Type="http://schemas.openxmlformats.org/officeDocument/2006/relationships/hyperlink" Target="https://wood-online.dk/shop/paslode-vinkelbeslag-542p.html" TargetMode="External" Id="rId16"/><Relationship Type="http://schemas.openxmlformats.org/officeDocument/2006/relationships/hyperlink" Target="https://wood-online.dk/shop/paslode-vinkelbeslag-542p.html" TargetMode="External" Id="rId17"/><Relationship Type="http://schemas.openxmlformats.org/officeDocument/2006/relationships/hyperlink" Target="https://www.jemogfix.dk/alusoem-2-6-x-25-mm-100-stk/4210/9038151/" TargetMode="External" Id="rId18"/></Relationships>
</file>

<file path=xl/worksheets/_rels/sheet8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10-4.dk/varer/byggematerialer/trae/laegter/38x73mm-taglaegte-c18-1731038073" TargetMode="External" Id="rId3"/><Relationship Type="http://schemas.openxmlformats.org/officeDocument/2006/relationships/hyperlink" Target="https://www.10-4.dk/varer/byggematerialer/trae/laegter/38x73mm-taglaegte-c18-1731038073" TargetMode="External" Id="rId4"/><Relationship Type="http://schemas.openxmlformats.org/officeDocument/2006/relationships/hyperlink" Target="https://www.xl-byg.dk/produkt/xl-byg-ru-sternbraet-over-trykimpraegneret-25-x-125-x-3600-mm-1143025122-0360" TargetMode="External" Id="rId5"/><Relationship Type="http://schemas.openxmlformats.org/officeDocument/2006/relationships/hyperlink" Target="https://www.xl-byg.dk/produkt/xl-byg-ru-sternbraet-over-trykimpraegneret-25-x-125-x-3600-mm-1143025122-0360" TargetMode="External" Id="rId6"/><Relationship Type="http://schemas.openxmlformats.org/officeDocument/2006/relationships/hyperlink" Target="https://www.bygxtra.dk/produkter/swisspearl-boelgeplade-b7-fk-i-sortblaa-1100x570-mm-1617012" TargetMode="External" Id="rId7"/><Relationship Type="http://schemas.openxmlformats.org/officeDocument/2006/relationships/hyperlink" Target="https://www.bygxtra.dk/produkter/swisspearl-boelgeplade-b7-fk-i-sortblaa-1100x570-mm-1617012" TargetMode="External" Id="rId8"/><Relationship Type="http://schemas.openxmlformats.org/officeDocument/2006/relationships/hyperlink" Target="https://www.davidsen.dk/swisspearl-100-tagskrue-m-taetningsskive-6x100-mm-graa-100-stk-c-id525046-p-51601506116" TargetMode="External" Id="rId9"/><Relationship Type="http://schemas.openxmlformats.org/officeDocument/2006/relationships/hyperlink" Target="https://www.davidsen.dk/swisspearl-100-tagskrue-m-taetningsskive-6x100-mm-graa-100-stk-c-id525046-p-51601506116" TargetMode="External" Id="rId10"/><Relationship Type="http://schemas.openxmlformats.org/officeDocument/2006/relationships/hyperlink" Target="https://wood-online.dk/shop/paslode-vinkelbeslag-542p.html" TargetMode="External" Id="rId11"/><Relationship Type="http://schemas.openxmlformats.org/officeDocument/2006/relationships/hyperlink" Target="https://wood-online.dk/shop/paslode-vinkelbeslag-542p.html" TargetMode="External" Id="rId1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jemogfix.dk/klinkbeklaedning-sortmalet/4115/9023155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reglar-47-x-50-x-3000-mm/4110/9052623/" TargetMode="External" Id="rId4"/><Relationship Type="http://schemas.openxmlformats.org/officeDocument/2006/relationships/hyperlink" Target="https://www.jemogfix.dk/glasuld-isover-basic-ruller-95-mm/4180/9039070/" TargetMode="External" Id="rId5"/></Relationships>
</file>

<file path=xl/worksheets/_rels/sheet10.xml.rels><Relationships xmlns="http://schemas.openxmlformats.org/package/2006/relationships"><Relationship Type="http://schemas.openxmlformats.org/officeDocument/2006/relationships/hyperlink" Target="https://arossavvaerk.dk/vare/1-paa-2-beklaedning-svensk-gran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glasuld-isover-basic-ruller-95-mm/4180/9039070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8" customWidth="1" style="67" min="1" max="1"/>
    <col width="22" customWidth="1" style="67" min="2" max="2"/>
    <col width="22" customWidth="1" style="67" min="3" max="3"/>
    <col width="26" customWidth="1" style="67" min="4" max="4"/>
  </cols>
  <sheetData>
    <row r="1" ht="28" customHeight="1" s="67">
      <c r="A1" s="79" t="inlineStr">
        <is>
          <t>Rabbit-house BOM  —  variant selector</t>
        </is>
      </c>
    </row>
    <row r="3">
      <c r="A3" s="80" t="inlineStr">
        <is>
          <t>Vælg tagdækning:</t>
        </is>
      </c>
      <c r="B3" s="81" t="inlineStr">
        <is>
          <t>tagpap</t>
        </is>
      </c>
    </row>
    <row r="4">
      <c r="A4" s="80" t="inlineStr">
        <is>
          <t>Vælg beklædning:</t>
        </is>
      </c>
      <c r="B4" s="82" t="inlineStr">
        <is>
          <t>klink</t>
        </is>
      </c>
    </row>
    <row r="6" ht="20" customHeight="1" s="67">
      <c r="A6" s="83" t="inlineStr">
        <is>
          <t>Valgt konfiguration — totaler</t>
        </is>
      </c>
    </row>
    <row r="7">
      <c r="A7" s="84" t="inlineStr">
        <is>
          <t>Fundament</t>
        </is>
      </c>
      <c r="B7" s="85">
        <f>SUM(fundament!F:F)</f>
        <v/>
      </c>
    </row>
    <row r="8">
      <c r="A8" s="86" t="inlineStr">
        <is>
          <t>Konstruktion</t>
        </is>
      </c>
      <c r="B8" s="85">
        <f>SUM(konstruktion!F:F)</f>
        <v/>
      </c>
    </row>
    <row r="9">
      <c r="A9" s="87" t="inlineStr">
        <is>
          <t>Tagkonstruktion</t>
        </is>
      </c>
      <c r="B9" s="85">
        <f>SUM(INDIRECT("tagkonstruktion_"&amp;B3&amp;"!F:F"))</f>
        <v/>
      </c>
    </row>
    <row r="10">
      <c r="A10" s="87" t="inlineStr">
        <is>
          <t>Beklædning</t>
        </is>
      </c>
      <c r="B10" s="85">
        <f>SUM(INDIRECT("beklaedning_"&amp;B4&amp;"!F:F"))</f>
        <v/>
      </c>
    </row>
    <row r="11">
      <c r="A11" s="88" t="inlineStr">
        <is>
          <t>TOTAL valgt</t>
        </is>
      </c>
      <c r="B11" s="89">
        <f>SUM(B7:B10)</f>
        <v/>
      </c>
    </row>
    <row r="13" ht="20" customHeight="1" s="67">
      <c r="A13" s="83" t="inlineStr">
        <is>
          <t>Sammenligning — alle 4 kombinationer</t>
        </is>
      </c>
    </row>
    <row r="14">
      <c r="B14" s="90" t="inlineStr">
        <is>
          <t>tagpap</t>
        </is>
      </c>
      <c r="C14" s="91" t="inlineStr">
        <is>
          <t>eternit_b7</t>
        </is>
      </c>
      <c r="D14" s="92" t="inlineStr">
        <is>
          <t>Δ (eternit − tagpap)</t>
        </is>
      </c>
    </row>
    <row r="15">
      <c r="A15" s="93" t="inlineStr">
        <is>
          <t>Klink</t>
        </is>
      </c>
      <c r="B15" s="85">
        <f>SUM(fundament!F:F)+SUM(konstruktion!F:F)+SUM(tagkonstruktion_tagpap!F:F)+SUM(beklaedning_klink!F:F)</f>
        <v/>
      </c>
      <c r="C15" s="85">
        <f>SUM(fundament!F:F)+SUM(konstruktion!F:F)+SUM(tagkonstruktion_eternit_b7!F:F)+SUM(beklaedning_klink!F:F)</f>
        <v/>
      </c>
      <c r="D15" s="94">
        <f>C15-B15</f>
        <v/>
      </c>
    </row>
    <row r="16">
      <c r="A16" s="95" t="inlineStr">
        <is>
          <t>Board-on-board (1-på-2)</t>
        </is>
      </c>
      <c r="B16" s="85">
        <f>SUM(fundament!F:F)+SUM(konstruktion!F:F)+SUM(tagkonstruktion_tagpap!F:F)+SUM(beklaedning_board_on_board!F:F)</f>
        <v/>
      </c>
      <c r="C16" s="85">
        <f>SUM(fundament!F:F)+SUM(konstruktion!F:F)+SUM(tagkonstruktion_eternit_b7!F:F)+SUM(beklaedning_board_on_board!F:F)</f>
        <v/>
      </c>
      <c r="D16" s="94">
        <f>C16-B16</f>
        <v/>
      </c>
    </row>
    <row r="17">
      <c r="A17" s="96" t="inlineStr">
        <is>
          <t>Δ (bob − klink)</t>
        </is>
      </c>
      <c r="B17" s="94">
        <f>B16-B15</f>
        <v/>
      </c>
      <c r="C17" s="94">
        <f>C16-C15</f>
        <v/>
      </c>
      <c r="D17" s="97" t="n"/>
    </row>
    <row r="19">
      <c r="A19" s="83" t="inlineStr">
        <is>
          <t>Noter</t>
        </is>
      </c>
    </row>
    <row r="20">
      <c r="A20" s="68" t="inlineStr">
        <is>
          <t>•  Dropdowns i B3/B4 styrer totalen i B11 via INDIRECT på sheet-navne.</t>
        </is>
      </c>
    </row>
    <row r="21">
      <c r="A21" s="68" t="inlineStr">
        <is>
          <t>•  Eternit_b7 bruger tungere spær (47×100 C24) end tagpap (men prisen er fra eternit-doc og er et estimat).</t>
        </is>
      </c>
    </row>
    <row r="22">
      <c r="A22" s="68" t="inlineStr">
        <is>
          <t>•  Board-on-board pris er Aros tilbudspris 160 kr/m² (normalpris 225). Klink kommer sortmalet; bob behøver træolie/maling.</t>
        </is>
      </c>
    </row>
    <row r="23">
      <c r="A23" s="68" t="inlineStr">
        <is>
          <t>•  Voliernet og isolering er ens på tværs af beklædningsvarianter.</t>
        </is>
      </c>
    </row>
    <row r="24">
      <c r="A24" s="68" t="inlineStr">
        <is>
          <t>•  Variantvalg i build.scad: roof_cover = "tagpap_osb"|"eternit_b7"; cladding_type = "klink"|"board_on_board".</t>
        </is>
      </c>
    </row>
    <row r="25">
      <c r="A25" s="68" t="inlineStr">
        <is>
          <t>•  Items med pris=tom og noter="TBD …" kræver verifikation før bestilling.</t>
        </is>
      </c>
    </row>
  </sheetData>
  <mergeCells count="10">
    <mergeCell ref="A1:D1"/>
    <mergeCell ref="A23:D23"/>
    <mergeCell ref="A6:D6"/>
    <mergeCell ref="A22:D22"/>
    <mergeCell ref="A20:D20"/>
    <mergeCell ref="A21:D21"/>
    <mergeCell ref="A25:D25"/>
    <mergeCell ref="A24:D24"/>
    <mergeCell ref="A19:D19"/>
    <mergeCell ref="A13:D13"/>
  </mergeCells>
  <dataValidations count="2">
    <dataValidation sqref="B3" showDropDown="0" showInputMessage="0" showErrorMessage="0" allowBlank="0" type="list">
      <formula1>"tagpap,eternit_b7"</formula1>
    </dataValidation>
    <dataValidation sqref="B4" showDropDown="0" showInputMessage="0" showErrorMessage="0" allowBlank="0" type="list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67" min="1" max="1"/>
    <col width="50" customWidth="1" style="67" min="2" max="2"/>
    <col width="8" customWidth="1" style="67" min="3" max="3"/>
    <col width="8" customWidth="1" style="67" min="4" max="4"/>
    <col width="12" customWidth="1" style="67" min="5" max="5"/>
    <col width="13" customWidth="1" style="67" min="6" max="6"/>
    <col width="22" customWidth="1" style="67" min="7" max="7"/>
    <col width="50" customWidth="1" style="67" min="8" max="8"/>
    <col width="10" customWidth="1" style="67" min="9" max="9"/>
  </cols>
  <sheetData>
    <row r="1" ht="26" customHeight="1" s="67">
      <c r="A1" s="98" t="inlineStr">
        <is>
          <t>Hus — komplet materialeliste (rene Hus-poster + Fælles)</t>
        </is>
      </c>
    </row>
    <row r="3" ht="22" customHeight="1" s="67">
      <c r="A3" s="99" t="inlineStr">
        <is>
          <t>Kategori</t>
        </is>
      </c>
      <c r="B3" s="99" t="inlineStr">
        <is>
          <t>Vare</t>
        </is>
      </c>
      <c r="C3" s="99" t="inlineStr">
        <is>
          <t>Antal</t>
        </is>
      </c>
      <c r="D3" s="99" t="inlineStr">
        <is>
          <t>Enhed</t>
        </is>
      </c>
      <c r="E3" s="99" t="inlineStr">
        <is>
          <t>Pris/enh</t>
        </is>
      </c>
      <c r="F3" s="99" t="inlineStr">
        <is>
          <t>I alt</t>
        </is>
      </c>
      <c r="G3" s="99" t="inlineStr">
        <is>
          <t>Leverandør</t>
        </is>
      </c>
      <c r="H3" s="99" t="inlineStr">
        <is>
          <t>Noter</t>
        </is>
      </c>
      <c r="I3" s="99" t="inlineStr">
        <is>
          <t>Zone</t>
        </is>
      </c>
    </row>
    <row r="4" ht="20" customHeight="1" s="67">
      <c r="A4" s="100" t="inlineStr">
        <is>
          <t xml:space="preserve">  Fundament</t>
        </is>
      </c>
      <c r="B4" s="101" t="n"/>
      <c r="C4" s="101" t="n"/>
      <c r="D4" s="101" t="n"/>
      <c r="E4" s="101" t="n"/>
      <c r="F4" s="101" t="n"/>
      <c r="G4" s="101" t="n"/>
      <c r="H4" s="101" t="n"/>
      <c r="I4" s="101" t="n"/>
    </row>
    <row r="5">
      <c r="A5" s="84" t="inlineStr">
        <is>
          <t>Fundament</t>
        </is>
      </c>
      <c r="B5" s="97" t="inlineStr">
        <is>
          <t>Stabilgrus 0-32 mm (hus)</t>
        </is>
      </c>
      <c r="C5" s="97" t="n">
        <v>510</v>
      </c>
      <c r="D5" s="102" t="inlineStr">
        <is>
          <t>kg</t>
        </is>
      </c>
      <c r="E5" s="103" t="n">
        <v>0.55</v>
      </c>
      <c r="F5" s="103">
        <f>C5*E5</f>
        <v/>
      </c>
      <c r="G5" s="104" t="inlineStr">
        <is>
          <t>materialepladsen.dk</t>
        </is>
      </c>
      <c r="H5" s="105" t="inlineStr">
        <is>
          <t>Under hus-strips (~0,30 m³)</t>
        </is>
      </c>
      <c r="I5" s="106" t="inlineStr">
        <is>
          <t>Hus</t>
        </is>
      </c>
    </row>
    <row r="6">
      <c r="A6" s="84" t="inlineStr">
        <is>
          <t>Fundament</t>
        </is>
      </c>
      <c r="B6" s="97" t="inlineStr">
        <is>
          <t>Fundablok 50x20x15 cm (hus)</t>
        </is>
      </c>
      <c r="C6" s="97" t="n">
        <v>86</v>
      </c>
      <c r="D6" s="102" t="inlineStr">
        <is>
          <t>stk</t>
        </is>
      </c>
      <c r="E6" s="103" t="n">
        <v>15.75</v>
      </c>
      <c r="F6" s="103">
        <f>C6*E6</f>
        <v/>
      </c>
      <c r="G6" s="104" t="inlineStr">
        <is>
          <t>jemogfix.dk</t>
        </is>
      </c>
      <c r="H6" s="105" t="inlineStr">
        <is>
          <t>2000x3000 ring, 4 skifter halvstensforbandt — 80 + buffer</t>
        </is>
      </c>
      <c r="I6" s="106" t="inlineStr">
        <is>
          <t>Hus</t>
        </is>
      </c>
    </row>
    <row r="7">
      <c r="A7" s="84" t="inlineStr">
        <is>
          <t>Fundament</t>
        </is>
      </c>
      <c r="B7" s="97" t="inlineStr">
        <is>
          <t>Kamstål Ø10 mm × 3 m (hus)</t>
        </is>
      </c>
      <c r="C7" s="97" t="n">
        <v>18</v>
      </c>
      <c r="D7" s="102" t="inlineStr">
        <is>
          <t>stk</t>
        </is>
      </c>
      <c r="E7" s="103" t="n">
        <v>45</v>
      </c>
      <c r="F7" s="103">
        <f>C7*E7</f>
        <v/>
      </c>
      <c r="G7" s="104" t="inlineStr">
        <is>
          <t>jemogfix.dk</t>
        </is>
      </c>
      <c r="H7" s="105" t="inlineStr">
        <is>
          <t>est. — 2 bund (8 stk for 10 m) + 2 top (8 stk) + 2 lodrette</t>
        </is>
      </c>
      <c r="I7" s="106" t="inlineStr">
        <is>
          <t>Hus</t>
        </is>
      </c>
    </row>
    <row r="8">
      <c r="A8" s="84" t="inlineStr">
        <is>
          <t>Fundament</t>
        </is>
      </c>
      <c r="B8" s="97" t="inlineStr">
        <is>
          <t>Cement 25 kg (hus)</t>
        </is>
      </c>
      <c r="C8" s="97" t="n">
        <v>10</v>
      </c>
      <c r="D8" s="102" t="inlineStr">
        <is>
          <t>stk</t>
        </is>
      </c>
      <c r="E8" s="103" t="n">
        <v>75</v>
      </c>
      <c r="F8" s="103">
        <f>C8*E8</f>
        <v/>
      </c>
      <c r="G8" s="104" t="inlineStr">
        <is>
          <t>jemogfix.dk</t>
        </is>
      </c>
      <c r="H8" s="105" t="inlineStr">
        <is>
          <t>1:4 blanding, ~300 L beton</t>
        </is>
      </c>
      <c r="I8" s="106" t="inlineStr">
        <is>
          <t>Hus</t>
        </is>
      </c>
    </row>
    <row r="9">
      <c r="A9" s="84" t="inlineStr">
        <is>
          <t>Fundament</t>
        </is>
      </c>
      <c r="B9" s="97" t="inlineStr">
        <is>
          <t>Støbemix 0-16 mm (hus)</t>
        </is>
      </c>
      <c r="C9" s="97" t="n">
        <v>625</v>
      </c>
      <c r="D9" s="102" t="inlineStr">
        <is>
          <t>kg</t>
        </is>
      </c>
      <c r="E9" s="103" t="n">
        <v>0.66</v>
      </c>
      <c r="F9" s="103">
        <f>C9*E9</f>
        <v/>
      </c>
      <c r="G9" s="104" t="inlineStr">
        <is>
          <t>materialepladsen.dk</t>
        </is>
      </c>
      <c r="H9" s="105" t="inlineStr">
        <is>
          <t>ca. 0,38 m³</t>
        </is>
      </c>
      <c r="I9" s="106" t="inlineStr">
        <is>
          <t>Hus</t>
        </is>
      </c>
    </row>
    <row r="10">
      <c r="A10" s="84" t="inlineStr">
        <is>
          <t>Fundament</t>
        </is>
      </c>
      <c r="B10" s="97" t="inlineStr">
        <is>
          <t>Ankerskrue M10 × 120 mm (hus)</t>
        </is>
      </c>
      <c r="C10" s="97" t="n">
        <v>10</v>
      </c>
      <c r="D10" s="102" t="inlineStr">
        <is>
          <t>stk</t>
        </is>
      </c>
      <c r="E10" s="103" t="n">
        <v>14.95</v>
      </c>
      <c r="F10" s="103">
        <f>C10*E10</f>
        <v/>
      </c>
      <c r="G10" s="104" t="inlineStr">
        <is>
          <t>jemogfix.dk</t>
        </is>
      </c>
      <c r="H10" s="105" t="inlineStr">
        <is>
          <t>est. — bundrem-fast: 2 på V1, 2 på V2, 3 på V3, 3 på V5</t>
        </is>
      </c>
      <c r="I10" s="106" t="inlineStr">
        <is>
          <t>Hus</t>
        </is>
      </c>
    </row>
    <row r="11">
      <c r="A11" s="84" t="inlineStr">
        <is>
          <t>Fundament</t>
        </is>
      </c>
      <c r="B11" s="97" t="inlineStr">
        <is>
          <t>M10 møtrikker + skiver (12-pak)</t>
        </is>
      </c>
      <c r="C11" s="97" t="n">
        <v>2</v>
      </c>
      <c r="D11" s="102" t="inlineStr">
        <is>
          <t>pk.</t>
        </is>
      </c>
      <c r="E11" s="103" t="n">
        <v>28.95</v>
      </c>
      <c r="F11" s="103">
        <f>C11*E11</f>
        <v/>
      </c>
      <c r="G11" s="104" t="inlineStr">
        <is>
          <t>jemogfix.dk</t>
        </is>
      </c>
      <c r="H11" s="105" t="inlineStr">
        <is>
          <t>Fastgør bundrem til ankerskrue ovenfra (1 pak pr. zone)</t>
        </is>
      </c>
      <c r="I11" s="107" t="inlineStr">
        <is>
          <t>Fælles</t>
        </is>
      </c>
    </row>
    <row r="12">
      <c r="A12" s="97" t="n"/>
      <c r="B12" s="97" t="n"/>
      <c r="C12" s="97" t="n"/>
      <c r="D12" s="97" t="n"/>
      <c r="E12" s="108" t="inlineStr">
        <is>
          <t>Fundament subtotal:</t>
        </is>
      </c>
      <c r="F12" s="109">
        <f>SUM(F5:F11)</f>
        <v/>
      </c>
      <c r="G12" s="97" t="n"/>
      <c r="H12" s="97" t="n"/>
      <c r="I12" s="97" t="n"/>
    </row>
    <row r="14" ht="20" customHeight="1" s="67">
      <c r="A14" s="110" t="inlineStr">
        <is>
          <t xml:space="preserve">  Konstruktion</t>
        </is>
      </c>
      <c r="B14" s="111" t="n"/>
      <c r="C14" s="111" t="n"/>
      <c r="D14" s="111" t="n"/>
      <c r="E14" s="111" t="n"/>
      <c r="F14" s="111" t="n"/>
      <c r="G14" s="111" t="n"/>
      <c r="H14" s="111" t="n"/>
      <c r="I14" s="111" t="n"/>
    </row>
    <row r="15">
      <c r="A15" s="86" t="inlineStr">
        <is>
          <t>Konstruktion</t>
        </is>
      </c>
      <c r="B15" s="97" t="inlineStr">
        <is>
          <t>Murpap (DPC)</t>
        </is>
      </c>
      <c r="C15" s="97" t="n">
        <v>1</v>
      </c>
      <c r="D15" s="102" t="inlineStr">
        <is>
          <t>stk</t>
        </is>
      </c>
      <c r="E15" s="103" t="n">
        <v>99</v>
      </c>
      <c r="F15" s="103">
        <f>C15*E15</f>
        <v/>
      </c>
      <c r="G15" s="104" t="inlineStr">
        <is>
          <t>jemogfix.dk</t>
        </is>
      </c>
      <c r="H15" s="105" t="inlineStr">
        <is>
          <t>11 cm × 20 m — sokkel-isolering, hele perimeter + tværvæg</t>
        </is>
      </c>
      <c r="I15" s="107" t="inlineStr">
        <is>
          <t>Fælles</t>
        </is>
      </c>
    </row>
    <row r="16">
      <c r="A16" s="86" t="inlineStr">
        <is>
          <t>Konstruktion</t>
        </is>
      </c>
      <c r="B16" s="97" t="inlineStr">
        <is>
          <t>Bundrem 45×95×3600 PT NTR-AB</t>
        </is>
      </c>
      <c r="C16" s="97" t="n">
        <v>2</v>
      </c>
      <c r="D16" s="102" t="inlineStr">
        <is>
          <t>stk</t>
        </is>
      </c>
      <c r="E16" s="103" t="n">
        <v>71.09999999999999</v>
      </c>
      <c r="F16" s="103">
        <f>C16*E16</f>
        <v/>
      </c>
      <c r="G16" s="104" t="inlineStr">
        <is>
          <t>jemogfix.dk</t>
        </is>
      </c>
      <c r="H16" s="105" t="inlineStr">
        <is>
          <t>V1 + V2 lange stykker — straddler hl ved splejs</t>
        </is>
      </c>
      <c r="I16" s="107" t="inlineStr">
        <is>
          <t>Fælles</t>
        </is>
      </c>
    </row>
    <row r="17">
      <c r="A17" s="86" t="inlineStr">
        <is>
          <t>Konstruktion</t>
        </is>
      </c>
      <c r="B17" s="97" t="inlineStr">
        <is>
          <t>Bundrem 45×95×2400 PT NTR-AB (hus)</t>
        </is>
      </c>
      <c r="C17" s="97" t="n">
        <v>2</v>
      </c>
      <c r="D17" s="102" t="inlineStr">
        <is>
          <t>stk</t>
        </is>
      </c>
      <c r="E17" s="103" t="n">
        <v>47.4</v>
      </c>
      <c r="F17" s="103">
        <f>C17*E17</f>
        <v/>
      </c>
      <c r="G17" s="104" t="inlineStr">
        <is>
          <t>jemogfix.dk</t>
        </is>
      </c>
      <c r="H17" s="105" t="inlineStr">
        <is>
          <t>V3 + V5 bundrem</t>
        </is>
      </c>
      <c r="I17" s="106" t="inlineStr">
        <is>
          <t>Hus</t>
        </is>
      </c>
    </row>
    <row r="18">
      <c r="A18" s="86" t="inlineStr">
        <is>
          <t>Konstruktion</t>
        </is>
      </c>
      <c r="B18" s="97" t="inlineStr">
        <is>
          <t>Toprem 47×100×3600 C24 gran</t>
        </is>
      </c>
      <c r="C18" s="97" t="n">
        <v>2</v>
      </c>
      <c r="D18" s="102" t="inlineStr">
        <is>
          <t>stk</t>
        </is>
      </c>
      <c r="E18" s="103" t="n">
        <v>63.9</v>
      </c>
      <c r="F18" s="103">
        <f>C18*E18</f>
        <v/>
      </c>
      <c r="G18" s="104" t="inlineStr">
        <is>
          <t>jemogfix.dk</t>
        </is>
      </c>
      <c r="H18" s="105" t="inlineStr">
        <is>
          <t>V1 + V2 lange stykker — straddler hl</t>
        </is>
      </c>
      <c r="I18" s="107" t="inlineStr">
        <is>
          <t>Fælles</t>
        </is>
      </c>
    </row>
    <row r="19">
      <c r="A19" s="86" t="inlineStr">
        <is>
          <t>Konstruktion</t>
        </is>
      </c>
      <c r="B19" s="97" t="inlineStr">
        <is>
          <t>Reglar 47×100×2400 C24 gran (hus)</t>
        </is>
      </c>
      <c r="C19" s="97" t="n">
        <v>22</v>
      </c>
      <c r="D19" s="102" t="inlineStr">
        <is>
          <t>stk</t>
        </is>
      </c>
      <c r="E19" s="103" t="n">
        <v>42.6</v>
      </c>
      <c r="F19" s="103">
        <f>C19*E19</f>
        <v/>
      </c>
      <c r="G19" s="104" t="inlineStr">
        <is>
          <t>jemogfix.dk</t>
        </is>
      </c>
      <c r="H19" s="105" t="inlineStr">
        <is>
          <t>Studs V1[0..hl]+V2[0..hl]+V3+V5 + skrå toprem V3+V5 + headers/cripples</t>
        </is>
      </c>
      <c r="I19" s="106" t="inlineStr">
        <is>
          <t>Hus</t>
        </is>
      </c>
    </row>
    <row r="20">
      <c r="A20" s="97" t="n"/>
      <c r="B20" s="97" t="n"/>
      <c r="C20" s="97" t="n"/>
      <c r="D20" s="97" t="n"/>
      <c r="E20" s="112" t="inlineStr">
        <is>
          <t>Konstruktion subtotal:</t>
        </is>
      </c>
      <c r="F20" s="109">
        <f>SUM(F15:F19)</f>
        <v/>
      </c>
      <c r="G20" s="97" t="n"/>
      <c r="H20" s="97" t="n"/>
      <c r="I20" s="97" t="n"/>
    </row>
    <row r="22" ht="20" customHeight="1" s="67">
      <c r="A22" s="113" t="inlineStr">
        <is>
          <t xml:space="preserve">  Tagkonstruktion (eternit_b7)</t>
        </is>
      </c>
      <c r="B22" s="114" t="n"/>
      <c r="C22" s="114" t="n"/>
      <c r="D22" s="114" t="n"/>
      <c r="E22" s="114" t="n"/>
      <c r="F22" s="114" t="n"/>
      <c r="G22" s="114" t="n"/>
      <c r="H22" s="114" t="n"/>
      <c r="I22" s="114" t="n"/>
    </row>
    <row r="23">
      <c r="A23" s="115" t="inlineStr">
        <is>
          <t>Træværk</t>
        </is>
      </c>
      <c r="B23" s="97" t="inlineStr">
        <is>
          <t>Spær 47×100×3000 C24 gran (hus)</t>
        </is>
      </c>
      <c r="C23" s="97" t="n">
        <v>4</v>
      </c>
      <c r="D23" s="102" t="inlineStr">
        <is>
          <t>stk</t>
        </is>
      </c>
      <c r="E23" s="103" t="n">
        <v>85</v>
      </c>
      <c r="F23" s="103">
        <f>C23*E23</f>
        <v/>
      </c>
      <c r="G23" s="104" t="inlineStr">
        <is>
          <t>Stark</t>
        </is>
      </c>
      <c r="H23" s="105" t="inlineStr">
        <is>
          <t>est. — X&lt;=1200 (incl. vindskede V)</t>
        </is>
      </c>
      <c r="I23" s="106" t="inlineStr">
        <is>
          <t>Hus</t>
        </is>
      </c>
    </row>
    <row r="24">
      <c r="A24" s="115" t="inlineStr">
        <is>
          <t>Træværk</t>
        </is>
      </c>
      <c r="B24" s="97" t="inlineStr">
        <is>
          <t>C18 taglægte 38×73×4200 mm (hus)</t>
        </is>
      </c>
      <c r="C24" s="97" t="n">
        <v>6</v>
      </c>
      <c r="D24" s="102" t="inlineStr">
        <is>
          <t>stk</t>
        </is>
      </c>
      <c r="E24" s="103" t="n">
        <v>52.5</v>
      </c>
      <c r="F24" s="103">
        <f>C24*E24</f>
        <v/>
      </c>
      <c r="G24" s="104" t="inlineStr">
        <is>
          <t>10-4.dk</t>
        </is>
      </c>
      <c r="H24" s="105" t="inlineStr">
        <is>
          <t>6 batten-rækker × 1 stk hus-segment</t>
        </is>
      </c>
      <c r="I24" s="106" t="inlineStr">
        <is>
          <t>Hus</t>
        </is>
      </c>
    </row>
    <row r="25">
      <c r="A25" s="115" t="inlineStr">
        <is>
          <t>Træværk</t>
        </is>
      </c>
      <c r="B25" s="97" t="inlineStr">
        <is>
          <t>Imp. sternbræt 25×125×3600 gran (hus)</t>
        </is>
      </c>
      <c r="C25" s="97" t="n">
        <v>2</v>
      </c>
      <c r="D25" s="102" t="inlineStr">
        <is>
          <t>stk</t>
        </is>
      </c>
      <c r="E25" s="103" t="n">
        <v>82.59999999999999</v>
      </c>
      <c r="F25" s="103">
        <f>C25*E25</f>
        <v/>
      </c>
      <c r="G25" s="104" t="inlineStr">
        <is>
          <t>xl-byg.dk</t>
        </is>
      </c>
      <c r="H25" s="105" t="inlineStr">
        <is>
          <t>Venstre side + del af front/bag (~6,4 m)</t>
        </is>
      </c>
      <c r="I25" s="106" t="inlineStr">
        <is>
          <t>Hus</t>
        </is>
      </c>
    </row>
    <row r="26">
      <c r="A26" s="115" t="inlineStr">
        <is>
          <t>Tagdækning</t>
        </is>
      </c>
      <c r="B26" s="97" t="inlineStr">
        <is>
          <t>Swisspearl B7 bølgeplade FK 1100×570 sortblå (hus)</t>
        </is>
      </c>
      <c r="C26" s="97" t="n">
        <v>15</v>
      </c>
      <c r="D26" s="102" t="inlineStr">
        <is>
          <t>stk</t>
        </is>
      </c>
      <c r="E26" s="103" t="n">
        <v>95</v>
      </c>
      <c r="F26" s="103">
        <f>C26*E26</f>
        <v/>
      </c>
      <c r="G26" s="104" t="inlineStr">
        <is>
          <t>bygxtra.dk</t>
        </is>
      </c>
      <c r="H26" s="105" t="inlineStr">
        <is>
          <t>2 plader × 7 rækker + 5 % spild</t>
        </is>
      </c>
      <c r="I26" s="106" t="inlineStr">
        <is>
          <t>Hus</t>
        </is>
      </c>
    </row>
    <row r="27">
      <c r="A27" s="115" t="inlineStr">
        <is>
          <t>Tagdækning</t>
        </is>
      </c>
      <c r="B27" s="97" t="inlineStr">
        <is>
          <t>Swisspearl 100 Tagskrue 6×100 (100-pak) (hus)</t>
        </is>
      </c>
      <c r="C27" s="97" t="n">
        <v>1</v>
      </c>
      <c r="D27" s="102" t="inlineStr">
        <is>
          <t>pak</t>
        </is>
      </c>
      <c r="E27" s="103" t="n">
        <v>425</v>
      </c>
      <c r="F27" s="103">
        <f>C27*E27</f>
        <v/>
      </c>
      <c r="G27" s="104" t="inlineStr">
        <is>
          <t>davidsen.dk</t>
        </is>
      </c>
      <c r="H27" s="105" t="inlineStr">
        <is>
          <t>2 pr. plade × 14 + spild</t>
        </is>
      </c>
      <c r="I27" s="106" t="inlineStr">
        <is>
          <t>Hus</t>
        </is>
      </c>
    </row>
    <row r="28">
      <c r="A28" s="115" t="inlineStr">
        <is>
          <t>Tagdækning</t>
        </is>
      </c>
      <c r="B28" s="97" t="inlineStr">
        <is>
          <t>Swisspearl PVC skumstrimmel 4,5 mm</t>
        </is>
      </c>
      <c r="C28" s="97" t="n">
        <v>1</v>
      </c>
      <c r="D28" s="102" t="inlineStr">
        <is>
          <t>rl.</t>
        </is>
      </c>
      <c r="E28" s="103" t="n"/>
      <c r="F28" s="97" t="n"/>
      <c r="G28" s="97" t="inlineStr">
        <is>
          <t>Cembrit</t>
        </is>
      </c>
      <c r="H28" s="105" t="inlineStr">
        <is>
          <t>TBD pris — overlap-tætning, én rulle deler</t>
        </is>
      </c>
      <c r="I28" s="107" t="inlineStr">
        <is>
          <t>Fælles</t>
        </is>
      </c>
    </row>
    <row r="29">
      <c r="A29" s="115" t="inlineStr">
        <is>
          <t>Beslag</t>
        </is>
      </c>
      <c r="B29" s="97" t="inlineStr">
        <is>
          <t>Paslode vinkelbeslag 90×90×40 (20-pak) (hus)</t>
        </is>
      </c>
      <c r="C29" s="97" t="n">
        <v>1</v>
      </c>
      <c r="D29" s="102" t="inlineStr">
        <is>
          <t>pak</t>
        </is>
      </c>
      <c r="E29" s="103" t="n"/>
      <c r="F29" s="97" t="n"/>
      <c r="G29" s="104" t="inlineStr">
        <is>
          <t>wood-online.dk</t>
        </is>
      </c>
      <c r="H29" s="105" t="inlineStr">
        <is>
          <t>TBD pris — ~14 stk på hus-spær</t>
        </is>
      </c>
      <c r="I29" s="106" t="inlineStr">
        <is>
          <t>Hus</t>
        </is>
      </c>
    </row>
    <row r="30">
      <c r="A30" s="115" t="inlineStr">
        <is>
          <t>Beslag</t>
        </is>
      </c>
      <c r="B30" s="97" t="inlineStr">
        <is>
          <t>Lægtesøm varmforzinket 2,8×60</t>
        </is>
      </c>
      <c r="C30" s="97" t="n"/>
      <c r="D30" s="102" t="inlineStr">
        <is>
          <t>stk</t>
        </is>
      </c>
      <c r="E30" s="103" t="n"/>
      <c r="F30" s="97" t="n"/>
      <c r="G30" s="97" t="inlineStr">
        <is>
          <t>jemogfix.dk</t>
        </is>
      </c>
      <c r="H30" s="105" t="inlineStr">
        <is>
          <t>TBD antal + pris</t>
        </is>
      </c>
      <c r="I30" s="107" t="inlineStr">
        <is>
          <t>Fælles</t>
        </is>
      </c>
    </row>
    <row r="31">
      <c r="A31" s="97" t="n"/>
      <c r="B31" s="97" t="n"/>
      <c r="C31" s="97" t="n"/>
      <c r="D31" s="97" t="n"/>
      <c r="E31" s="116" t="inlineStr">
        <is>
          <t>Tagkonstruktion (eternit_b7) subtotal:</t>
        </is>
      </c>
      <c r="F31" s="109">
        <f>SUM(F23:F30)</f>
        <v/>
      </c>
      <c r="G31" s="97" t="n"/>
      <c r="H31" s="97" t="n"/>
      <c r="I31" s="97" t="n"/>
    </row>
    <row r="33" ht="20" customHeight="1" s="67">
      <c r="A33" s="117" t="inlineStr">
        <is>
          <t xml:space="preserve">  Beklædning (klink)</t>
        </is>
      </c>
      <c r="B33" s="118" t="n"/>
      <c r="C33" s="118" t="n"/>
      <c r="D33" s="118" t="n"/>
      <c r="E33" s="118" t="n"/>
      <c r="F33" s="118" t="n"/>
      <c r="G33" s="118" t="n"/>
      <c r="H33" s="118" t="n"/>
      <c r="I33" s="118" t="n"/>
    </row>
    <row r="34">
      <c r="A34" s="119" t="inlineStr">
        <is>
          <t>Beklædning</t>
        </is>
      </c>
      <c r="B34" s="97" t="inlineStr">
        <is>
          <t>Klinkbeklædning sortmalet gran 25×125×4200 (pak)</t>
        </is>
      </c>
      <c r="C34" s="97" t="n">
        <v>6</v>
      </c>
      <c r="D34" s="102" t="inlineStr">
        <is>
          <t>pak</t>
        </is>
      </c>
      <c r="E34" s="103" t="n">
        <v>497.7</v>
      </c>
      <c r="F34" s="103">
        <f>C34*E34</f>
        <v/>
      </c>
      <c r="G34" s="104" t="inlineStr">
        <is>
          <t>jemogfix.dk</t>
        </is>
      </c>
      <c r="H34" s="105" t="inlineStr">
        <is>
          <t>Frøslev klink; 4 hus-vægge</t>
        </is>
      </c>
      <c r="I34" s="106" t="inlineStr">
        <is>
          <t>Hus</t>
        </is>
      </c>
    </row>
    <row r="35">
      <c r="A35" s="119" t="inlineStr">
        <is>
          <t>Beklædning</t>
        </is>
      </c>
      <c r="B35" s="97" t="inlineStr">
        <is>
          <t>Vindpap (housewrap)</t>
        </is>
      </c>
      <c r="C35" s="97" t="n">
        <v>1</v>
      </c>
      <c r="D35" s="102" t="inlineStr">
        <is>
          <t>rl.</t>
        </is>
      </c>
      <c r="E35" s="103" t="n">
        <v>299</v>
      </c>
      <c r="F35" s="103">
        <f>C35*E35</f>
        <v/>
      </c>
      <c r="G35" s="104" t="inlineStr">
        <is>
          <t>jemogfix.dk</t>
        </is>
      </c>
      <c r="H35" s="105" t="inlineStr">
        <is>
          <t>20 m² pr. rulle; behov ~17,5 m² på 4 hus-vægge</t>
        </is>
      </c>
      <c r="I35" s="106" t="inlineStr">
        <is>
          <t>Hus</t>
        </is>
      </c>
    </row>
    <row r="36">
      <c r="A36" s="119" t="inlineStr">
        <is>
          <t>Beklædning</t>
        </is>
      </c>
      <c r="B36" s="97" t="inlineStr">
        <is>
          <t>Klemmelister 25×50×4200 mm</t>
        </is>
      </c>
      <c r="C36" s="97" t="n">
        <v>10</v>
      </c>
      <c r="D36" s="102" t="inlineStr">
        <is>
          <t>stk</t>
        </is>
      </c>
      <c r="E36" s="103" t="n">
        <v>28.35</v>
      </c>
      <c r="F36" s="103">
        <f>C36*E36</f>
        <v/>
      </c>
      <c r="G36" s="104" t="inlineStr">
        <is>
          <t>jemogfix.dk</t>
        </is>
      </c>
      <c r="H36" s="105" t="inlineStr">
        <is>
          <t>Lodrette afstandslister c/c 600 på hus-vægge</t>
        </is>
      </c>
      <c r="I36" s="106" t="inlineStr">
        <is>
          <t>Hus</t>
        </is>
      </c>
    </row>
    <row r="37">
      <c r="A37" s="119" t="inlineStr">
        <is>
          <t>Beklædning</t>
        </is>
      </c>
      <c r="B37" s="97" t="inlineStr">
        <is>
          <t>Hjørnetrim 45×45×2400 mm</t>
        </is>
      </c>
      <c r="C37" s="97" t="n">
        <v>4</v>
      </c>
      <c r="D37" s="102" t="inlineStr">
        <is>
          <t>stk</t>
        </is>
      </c>
      <c r="E37" s="103" t="n">
        <v>29.25</v>
      </c>
      <c r="F37" s="103">
        <f>C37*E37</f>
        <v/>
      </c>
      <c r="G37" s="104" t="inlineStr">
        <is>
          <t>jemogfix.dk</t>
        </is>
      </c>
      <c r="H37" s="105" t="inlineStr">
        <is>
          <t>4 udvendige hus-hjørner</t>
        </is>
      </c>
      <c r="I37" s="106" t="inlineStr">
        <is>
          <t>Hus</t>
        </is>
      </c>
    </row>
    <row r="38">
      <c r="A38" s="119" t="inlineStr">
        <is>
          <t>Beklædning</t>
        </is>
      </c>
      <c r="B38" s="97" t="inlineStr">
        <is>
          <t>Isolering mineraluld 95 mm</t>
        </is>
      </c>
      <c r="C38" s="97" t="n">
        <v>20</v>
      </c>
      <c r="D38" s="102" t="inlineStr">
        <is>
          <t>m²</t>
        </is>
      </c>
      <c r="E38" s="103" t="n">
        <v>29.61</v>
      </c>
      <c r="F38" s="103">
        <f>C38*E38</f>
        <v/>
      </c>
      <c r="G38" s="104" t="inlineStr">
        <is>
          <t>jemogfix.dk</t>
        </is>
      </c>
      <c r="H38" s="105" t="inlineStr">
        <is>
          <t>I hus-stud-rum (4 vægge)</t>
        </is>
      </c>
      <c r="I38" s="106" t="inlineStr">
        <is>
          <t>Hus</t>
        </is>
      </c>
    </row>
    <row r="39">
      <c r="A39" s="97" t="n"/>
      <c r="B39" s="97" t="n"/>
      <c r="C39" s="97" t="n"/>
      <c r="D39" s="97" t="n"/>
      <c r="E39" s="93" t="inlineStr">
        <is>
          <t>Beklædning (klink) subtotal:</t>
        </is>
      </c>
      <c r="F39" s="109">
        <f>SUM(F34:F38)</f>
        <v/>
      </c>
      <c r="G39" s="97" t="n"/>
      <c r="H39" s="97" t="n"/>
      <c r="I39" s="97" t="n"/>
    </row>
    <row r="42" ht="26" customHeight="1" s="67">
      <c r="A42" s="97" t="n"/>
      <c r="B42" s="97" t="n"/>
      <c r="C42" s="97" t="n"/>
      <c r="D42" s="97" t="n"/>
      <c r="E42" s="120" t="inlineStr">
        <is>
          <t>Hus-ONLY TOTAL:</t>
        </is>
      </c>
      <c r="F42" s="121">
        <f>F12+F20+F31+F39</f>
        <v/>
      </c>
      <c r="G42" s="97" t="n"/>
      <c r="H42" s="97" t="n"/>
      <c r="I42" s="97" t="n"/>
    </row>
  </sheetData>
  <mergeCells count="5">
    <mergeCell ref="A33:I33"/>
    <mergeCell ref="A14:I14"/>
    <mergeCell ref="A1:I1"/>
    <mergeCell ref="A22:I22"/>
    <mergeCell ref="A4:I4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3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9" r:id="rId18"/>
    <hyperlink xmlns:r="http://schemas.openxmlformats.org/officeDocument/2006/relationships" ref="G34" r:id="rId19"/>
    <hyperlink xmlns:r="http://schemas.openxmlformats.org/officeDocument/2006/relationships" ref="G35" r:id="rId20"/>
    <hyperlink xmlns:r="http://schemas.openxmlformats.org/officeDocument/2006/relationships" ref="G36" r:id="rId21"/>
    <hyperlink xmlns:r="http://schemas.openxmlformats.org/officeDocument/2006/relationships" ref="G37" r:id="rId22"/>
    <hyperlink xmlns:r="http://schemas.openxmlformats.org/officeDocument/2006/relationships" ref="G38" r:id="rId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style="67" min="1" max="1"/>
    <col width="50" customWidth="1" style="67" min="2" max="2"/>
    <col width="8" customWidth="1" style="67" min="3" max="3"/>
    <col width="8" customWidth="1" style="67" min="4" max="4"/>
    <col width="12" customWidth="1" style="67" min="5" max="5"/>
    <col width="13" customWidth="1" style="67" min="6" max="6"/>
    <col width="22" customWidth="1" style="67" min="7" max="7"/>
    <col width="50" customWidth="1" style="67" min="8" max="8"/>
    <col width="10" customWidth="1" style="67" min="9" max="9"/>
  </cols>
  <sheetData>
    <row r="1" ht="26" customHeight="1" s="67">
      <c r="A1" s="98" t="inlineStr">
        <is>
          <t>Yard — komplet materialeliste (rene Yard-poster + Fælles)</t>
        </is>
      </c>
    </row>
    <row r="3" ht="22" customHeight="1" s="67">
      <c r="A3" s="99" t="inlineStr">
        <is>
          <t>Kategori</t>
        </is>
      </c>
      <c r="B3" s="99" t="inlineStr">
        <is>
          <t>Vare</t>
        </is>
      </c>
      <c r="C3" s="99" t="inlineStr">
        <is>
          <t>Antal</t>
        </is>
      </c>
      <c r="D3" s="99" t="inlineStr">
        <is>
          <t>Enhed</t>
        </is>
      </c>
      <c r="E3" s="99" t="inlineStr">
        <is>
          <t>Pris/enh</t>
        </is>
      </c>
      <c r="F3" s="99" t="inlineStr">
        <is>
          <t>I alt</t>
        </is>
      </c>
      <c r="G3" s="99" t="inlineStr">
        <is>
          <t>Leverandør</t>
        </is>
      </c>
      <c r="H3" s="99" t="inlineStr">
        <is>
          <t>Noter</t>
        </is>
      </c>
      <c r="I3" s="99" t="inlineStr">
        <is>
          <t>Zone</t>
        </is>
      </c>
    </row>
    <row r="4" ht="20" customHeight="1" s="67">
      <c r="A4" s="100" t="inlineStr">
        <is>
          <t xml:space="preserve">  Fundament</t>
        </is>
      </c>
      <c r="B4" s="101" t="n"/>
      <c r="C4" s="101" t="n"/>
      <c r="D4" s="101" t="n"/>
      <c r="E4" s="101" t="n"/>
      <c r="F4" s="101" t="n"/>
      <c r="G4" s="101" t="n"/>
      <c r="H4" s="101" t="n"/>
      <c r="I4" s="101" t="n"/>
    </row>
    <row r="5">
      <c r="A5" s="84" t="inlineStr">
        <is>
          <t>Fundament</t>
        </is>
      </c>
      <c r="B5" s="97" t="inlineStr">
        <is>
          <t>Stabilgrus 0-32 mm (yard)</t>
        </is>
      </c>
      <c r="C5" s="97" t="n">
        <v>560</v>
      </c>
      <c r="D5" s="102" t="inlineStr">
        <is>
          <t>kg</t>
        </is>
      </c>
      <c r="E5" s="103" t="n">
        <v>0.55</v>
      </c>
      <c r="F5" s="103">
        <f>C5*E5</f>
        <v/>
      </c>
      <c r="G5" s="104" t="inlineStr">
        <is>
          <t>materialepladsen.dk</t>
        </is>
      </c>
      <c r="H5" s="105" t="inlineStr">
        <is>
          <t>Under yard-strips (~0,33 m³)</t>
        </is>
      </c>
      <c r="I5" s="122" t="inlineStr">
        <is>
          <t>Yard</t>
        </is>
      </c>
    </row>
    <row r="6">
      <c r="A6" s="84" t="inlineStr">
        <is>
          <t>Fundament</t>
        </is>
      </c>
      <c r="B6" s="97" t="inlineStr">
        <is>
          <t>Fundablok 50x20x15 cm (yard)</t>
        </is>
      </c>
      <c r="C6" s="97" t="n">
        <v>94</v>
      </c>
      <c r="D6" s="102" t="inlineStr">
        <is>
          <t>stk</t>
        </is>
      </c>
      <c r="E6" s="103" t="n">
        <v>15.75</v>
      </c>
      <c r="F6" s="103">
        <f>C6*E6</f>
        <v/>
      </c>
      <c r="G6" s="104" t="inlineStr">
        <is>
          <t>jemogfix.dk</t>
        </is>
      </c>
      <c r="H6" s="105" t="inlineStr">
        <is>
          <t>3-sidet ring (V5 = hus), 4 skifter halvstensforbandt — 88 + buffer</t>
        </is>
      </c>
      <c r="I6" s="122" t="inlineStr">
        <is>
          <t>Yard</t>
        </is>
      </c>
    </row>
    <row r="7">
      <c r="A7" s="84" t="inlineStr">
        <is>
          <t>Fundament</t>
        </is>
      </c>
      <c r="B7" s="97" t="inlineStr">
        <is>
          <t>Kamstål Ø10 mm × 3 m (yard)</t>
        </is>
      </c>
      <c r="C7" s="97" t="n">
        <v>18</v>
      </c>
      <c r="D7" s="102" t="inlineStr">
        <is>
          <t>stk</t>
        </is>
      </c>
      <c r="E7" s="103" t="n">
        <v>45</v>
      </c>
      <c r="F7" s="103">
        <f>C7*E7</f>
        <v/>
      </c>
      <c r="G7" s="104" t="inlineStr">
        <is>
          <t>jemogfix.dk</t>
        </is>
      </c>
      <c r="H7" s="105" t="inlineStr">
        <is>
          <t>est. — 2 bund (8 stk for 11 m) + 2 top (8 stk) + 2 lodrette</t>
        </is>
      </c>
      <c r="I7" s="122" t="inlineStr">
        <is>
          <t>Yard</t>
        </is>
      </c>
    </row>
    <row r="8">
      <c r="A8" s="84" t="inlineStr">
        <is>
          <t>Fundament</t>
        </is>
      </c>
      <c r="B8" s="97" t="inlineStr">
        <is>
          <t>Cement 25 kg (yard)</t>
        </is>
      </c>
      <c r="C8" s="97" t="n">
        <v>11</v>
      </c>
      <c r="D8" s="102" t="inlineStr">
        <is>
          <t>stk</t>
        </is>
      </c>
      <c r="E8" s="103" t="n">
        <v>75</v>
      </c>
      <c r="F8" s="103">
        <f>C8*E8</f>
        <v/>
      </c>
      <c r="G8" s="104" t="inlineStr">
        <is>
          <t>jemogfix.dk</t>
        </is>
      </c>
      <c r="H8" s="105" t="inlineStr">
        <is>
          <t>1:4 blanding, ~330 L beton</t>
        </is>
      </c>
      <c r="I8" s="122" t="inlineStr">
        <is>
          <t>Yard</t>
        </is>
      </c>
    </row>
    <row r="9">
      <c r="A9" s="84" t="inlineStr">
        <is>
          <t>Fundament</t>
        </is>
      </c>
      <c r="B9" s="97" t="inlineStr">
        <is>
          <t>Støbemix 0-16 mm (yard)</t>
        </is>
      </c>
      <c r="C9" s="97" t="n">
        <v>705</v>
      </c>
      <c r="D9" s="102" t="inlineStr">
        <is>
          <t>kg</t>
        </is>
      </c>
      <c r="E9" s="103" t="n">
        <v>0.66</v>
      </c>
      <c r="F9" s="103">
        <f>C9*E9</f>
        <v/>
      </c>
      <c r="G9" s="104" t="inlineStr">
        <is>
          <t>materialepladsen.dk</t>
        </is>
      </c>
      <c r="H9" s="105" t="inlineStr">
        <is>
          <t>ca. 0,43 m³</t>
        </is>
      </c>
      <c r="I9" s="122" t="inlineStr">
        <is>
          <t>Yard</t>
        </is>
      </c>
    </row>
    <row r="10">
      <c r="A10" s="84" t="inlineStr">
        <is>
          <t>Fundament</t>
        </is>
      </c>
      <c r="B10" s="97" t="inlineStr">
        <is>
          <t>Ankerskrue M10 × 120 mm (yard)</t>
        </is>
      </c>
      <c r="C10" s="97" t="n">
        <v>11</v>
      </c>
      <c r="D10" s="102" t="inlineStr">
        <is>
          <t>stk</t>
        </is>
      </c>
      <c r="E10" s="103" t="n">
        <v>14.95</v>
      </c>
      <c r="F10" s="103">
        <f>C10*E10</f>
        <v/>
      </c>
      <c r="G10" s="104" t="inlineStr">
        <is>
          <t>jemogfix.dk</t>
        </is>
      </c>
      <c r="H10" s="105" t="inlineStr">
        <is>
          <t>est. — 4 på V1, 4 på V2, 3 på V4</t>
        </is>
      </c>
      <c r="I10" s="122" t="inlineStr">
        <is>
          <t>Yard</t>
        </is>
      </c>
    </row>
    <row r="11">
      <c r="A11" s="84" t="inlineStr">
        <is>
          <t>Fundament</t>
        </is>
      </c>
      <c r="B11" s="97" t="inlineStr">
        <is>
          <t>M10 møtrikker + skiver (12-pak)</t>
        </is>
      </c>
      <c r="C11" s="97" t="n">
        <v>2</v>
      </c>
      <c r="D11" s="102" t="inlineStr">
        <is>
          <t>pk.</t>
        </is>
      </c>
      <c r="E11" s="103" t="n">
        <v>28.95</v>
      </c>
      <c r="F11" s="103">
        <f>C11*E11</f>
        <v/>
      </c>
      <c r="G11" s="104" t="inlineStr">
        <is>
          <t>jemogfix.dk</t>
        </is>
      </c>
      <c r="H11" s="105" t="inlineStr">
        <is>
          <t>Fastgør bundrem til ankerskrue ovenfra (1 pak pr. zone)</t>
        </is>
      </c>
      <c r="I11" s="107" t="inlineStr">
        <is>
          <t>Fælles</t>
        </is>
      </c>
    </row>
    <row r="12">
      <c r="A12" s="97" t="n"/>
      <c r="B12" s="97" t="n"/>
      <c r="C12" s="97" t="n"/>
      <c r="D12" s="97" t="n"/>
      <c r="E12" s="108" t="inlineStr">
        <is>
          <t>Fundament subtotal:</t>
        </is>
      </c>
      <c r="F12" s="109">
        <f>SUM(F5:F11)</f>
        <v/>
      </c>
      <c r="G12" s="97" t="n"/>
      <c r="H12" s="97" t="n"/>
      <c r="I12" s="97" t="n"/>
    </row>
    <row r="14" ht="20" customHeight="1" s="67">
      <c r="A14" s="110" t="inlineStr">
        <is>
          <t xml:space="preserve">  Konstruktion</t>
        </is>
      </c>
      <c r="B14" s="111" t="n"/>
      <c r="C14" s="111" t="n"/>
      <c r="D14" s="111" t="n"/>
      <c r="E14" s="111" t="n"/>
      <c r="F14" s="111" t="n"/>
      <c r="G14" s="111" t="n"/>
      <c r="H14" s="111" t="n"/>
      <c r="I14" s="111" t="n"/>
    </row>
    <row r="15">
      <c r="A15" s="86" t="inlineStr">
        <is>
          <t>Konstruktion</t>
        </is>
      </c>
      <c r="B15" s="97" t="inlineStr">
        <is>
          <t>Murpap (DPC)</t>
        </is>
      </c>
      <c r="C15" s="97" t="n">
        <v>1</v>
      </c>
      <c r="D15" s="102" t="inlineStr">
        <is>
          <t>stk</t>
        </is>
      </c>
      <c r="E15" s="103" t="n">
        <v>99</v>
      </c>
      <c r="F15" s="103">
        <f>C15*E15</f>
        <v/>
      </c>
      <c r="G15" s="104" t="inlineStr">
        <is>
          <t>jemogfix.dk</t>
        </is>
      </c>
      <c r="H15" s="105" t="inlineStr">
        <is>
          <t>11 cm × 20 m — sokkel-isolering, hele perimeter + tværvæg</t>
        </is>
      </c>
      <c r="I15" s="107" t="inlineStr">
        <is>
          <t>Fælles</t>
        </is>
      </c>
    </row>
    <row r="16">
      <c r="A16" s="86" t="inlineStr">
        <is>
          <t>Konstruktion</t>
        </is>
      </c>
      <c r="B16" s="97" t="inlineStr">
        <is>
          <t>Bundrem 45×95×3600 PT NTR-AB</t>
        </is>
      </c>
      <c r="C16" s="97" t="n">
        <v>2</v>
      </c>
      <c r="D16" s="102" t="inlineStr">
        <is>
          <t>stk</t>
        </is>
      </c>
      <c r="E16" s="103" t="n">
        <v>71.09999999999999</v>
      </c>
      <c r="F16" s="103">
        <f>C16*E16</f>
        <v/>
      </c>
      <c r="G16" s="104" t="inlineStr">
        <is>
          <t>jemogfix.dk</t>
        </is>
      </c>
      <c r="H16" s="105" t="inlineStr">
        <is>
          <t>V1 + V2 lange stykker — straddler hl ved splejs</t>
        </is>
      </c>
      <c r="I16" s="107" t="inlineStr">
        <is>
          <t>Fælles</t>
        </is>
      </c>
    </row>
    <row r="17">
      <c r="A17" s="86" t="inlineStr">
        <is>
          <t>Konstruktion</t>
        </is>
      </c>
      <c r="B17" s="97" t="inlineStr">
        <is>
          <t>Bundrem 45×95×2400 PT NTR-AB (yard)</t>
        </is>
      </c>
      <c r="C17" s="97" t="n">
        <v>3</v>
      </c>
      <c r="D17" s="102" t="inlineStr">
        <is>
          <t>stk</t>
        </is>
      </c>
      <c r="E17" s="103" t="n">
        <v>47.4</v>
      </c>
      <c r="F17" s="103">
        <f>C17*E17</f>
        <v/>
      </c>
      <c r="G17" s="104" t="inlineStr">
        <is>
          <t>jemogfix.dk</t>
        </is>
      </c>
      <c r="H17" s="105" t="inlineStr">
        <is>
          <t>V1[2] + V2[2] + V4 bundrem</t>
        </is>
      </c>
      <c r="I17" s="122" t="inlineStr">
        <is>
          <t>Yard</t>
        </is>
      </c>
    </row>
    <row r="18">
      <c r="A18" s="86" t="inlineStr">
        <is>
          <t>Konstruktion</t>
        </is>
      </c>
      <c r="B18" s="97" t="inlineStr">
        <is>
          <t>Toprem 47×100×3600 C24 gran</t>
        </is>
      </c>
      <c r="C18" s="97" t="n">
        <v>2</v>
      </c>
      <c r="D18" s="102" t="inlineStr">
        <is>
          <t>stk</t>
        </is>
      </c>
      <c r="E18" s="103" t="n">
        <v>63.9</v>
      </c>
      <c r="F18" s="103">
        <f>C18*E18</f>
        <v/>
      </c>
      <c r="G18" s="104" t="inlineStr">
        <is>
          <t>jemogfix.dk</t>
        </is>
      </c>
      <c r="H18" s="105" t="inlineStr">
        <is>
          <t>V1 + V2 lange stykker — straddler hl</t>
        </is>
      </c>
      <c r="I18" s="107" t="inlineStr">
        <is>
          <t>Fælles</t>
        </is>
      </c>
    </row>
    <row r="19">
      <c r="A19" s="86" t="inlineStr">
        <is>
          <t>Konstruktion</t>
        </is>
      </c>
      <c r="B19" s="97" t="inlineStr">
        <is>
          <t>Toprem 47×100×3600 C24 gran (yard)</t>
        </is>
      </c>
      <c r="C19" s="97" t="n">
        <v>2</v>
      </c>
      <c r="D19" s="102" t="inlineStr">
        <is>
          <t>stk</t>
        </is>
      </c>
      <c r="E19" s="103" t="n">
        <v>63.9</v>
      </c>
      <c r="F19" s="103">
        <f>C19*E19</f>
        <v/>
      </c>
      <c r="G19" s="104" t="inlineStr">
        <is>
          <t>jemogfix.dk</t>
        </is>
      </c>
      <c r="H19" s="105" t="inlineStr">
        <is>
          <t>V1[2] + V2[2] yard-segment toprem</t>
        </is>
      </c>
      <c r="I19" s="122" t="inlineStr">
        <is>
          <t>Yard</t>
        </is>
      </c>
    </row>
    <row r="20">
      <c r="A20" s="86" t="inlineStr">
        <is>
          <t>Konstruktion</t>
        </is>
      </c>
      <c r="B20" s="97" t="inlineStr">
        <is>
          <t>Reglar 47×100×2400 C24 gran (yard)</t>
        </is>
      </c>
      <c r="C20" s="97" t="n">
        <v>20</v>
      </c>
      <c r="D20" s="102" t="inlineStr">
        <is>
          <t>stk</t>
        </is>
      </c>
      <c r="E20" s="103" t="n">
        <v>42.6</v>
      </c>
      <c r="F20" s="103">
        <f>C20*E20</f>
        <v/>
      </c>
      <c r="G20" s="104" t="inlineStr">
        <is>
          <t>jemogfix.dk</t>
        </is>
      </c>
      <c r="H20" s="105" t="inlineStr">
        <is>
          <t>Studs V1[hl..ll]+V2[hl..ll]+V4 + skrå toprem V4 + yard-dør jamber</t>
        </is>
      </c>
      <c r="I20" s="122" t="inlineStr">
        <is>
          <t>Yard</t>
        </is>
      </c>
    </row>
    <row r="21">
      <c r="A21" s="97" t="n"/>
      <c r="B21" s="97" t="n"/>
      <c r="C21" s="97" t="n"/>
      <c r="D21" s="97" t="n"/>
      <c r="E21" s="112" t="inlineStr">
        <is>
          <t>Konstruktion subtotal:</t>
        </is>
      </c>
      <c r="F21" s="109">
        <f>SUM(F15:F20)</f>
        <v/>
      </c>
      <c r="G21" s="97" t="n"/>
      <c r="H21" s="97" t="n"/>
      <c r="I21" s="97" t="n"/>
    </row>
    <row r="23" ht="20" customHeight="1" s="67">
      <c r="A23" s="113" t="inlineStr">
        <is>
          <t xml:space="preserve">  Tagkonstruktion (eternit_b7)</t>
        </is>
      </c>
      <c r="B23" s="114" t="n"/>
      <c r="C23" s="114" t="n"/>
      <c r="D23" s="114" t="n"/>
      <c r="E23" s="114" t="n"/>
      <c r="F23" s="114" t="n"/>
      <c r="G23" s="114" t="n"/>
      <c r="H23" s="114" t="n"/>
      <c r="I23" s="114" t="n"/>
    </row>
    <row r="24">
      <c r="A24" s="115" t="inlineStr">
        <is>
          <t>Træværk</t>
        </is>
      </c>
      <c r="B24" s="97" t="inlineStr">
        <is>
          <t>Spær 47×100×3000 C24 gran (yard)</t>
        </is>
      </c>
      <c r="C24" s="97" t="n">
        <v>9</v>
      </c>
      <c r="D24" s="102" t="inlineStr">
        <is>
          <t>stk</t>
        </is>
      </c>
      <c r="E24" s="103" t="n">
        <v>85</v>
      </c>
      <c r="F24" s="103">
        <f>C24*E24</f>
        <v/>
      </c>
      <c r="G24" s="104" t="inlineStr">
        <is>
          <t>Stark</t>
        </is>
      </c>
      <c r="H24" s="105" t="inlineStr">
        <is>
          <t>est. — X&gt;=1800</t>
        </is>
      </c>
      <c r="I24" s="122" t="inlineStr">
        <is>
          <t>Yard</t>
        </is>
      </c>
    </row>
    <row r="25">
      <c r="A25" s="115" t="inlineStr">
        <is>
          <t>Træværk</t>
        </is>
      </c>
      <c r="B25" s="97" t="inlineStr">
        <is>
          <t>C18 taglægte 38×73×4200 mm (yard)</t>
        </is>
      </c>
      <c r="C25" s="97" t="n">
        <v>12</v>
      </c>
      <c r="D25" s="102" t="inlineStr">
        <is>
          <t>stk</t>
        </is>
      </c>
      <c r="E25" s="103" t="n">
        <v>52.5</v>
      </c>
      <c r="F25" s="103">
        <f>C25*E25</f>
        <v/>
      </c>
      <c r="G25" s="104" t="inlineStr">
        <is>
          <t>10-4.dk</t>
        </is>
      </c>
      <c r="H25" s="105" t="inlineStr">
        <is>
          <t>6 batten-rækker × 2 stk yard-segment</t>
        </is>
      </c>
      <c r="I25" s="122" t="inlineStr">
        <is>
          <t>Yard</t>
        </is>
      </c>
    </row>
    <row r="26">
      <c r="A26" s="115" t="inlineStr">
        <is>
          <t>Træværk</t>
        </is>
      </c>
      <c r="B26" s="97" t="inlineStr">
        <is>
          <t>Imp. sternbræt 25×125×3600 gran (yard)</t>
        </is>
      </c>
      <c r="C26" s="97" t="n">
        <v>4</v>
      </c>
      <c r="D26" s="102" t="inlineStr">
        <is>
          <t>stk</t>
        </is>
      </c>
      <c r="E26" s="103" t="n">
        <v>82.59999999999999</v>
      </c>
      <c r="F26" s="103">
        <f>C26*E26</f>
        <v/>
      </c>
      <c r="G26" s="104" t="inlineStr">
        <is>
          <t>xl-byg.dk</t>
        </is>
      </c>
      <c r="H26" s="105" t="inlineStr">
        <is>
          <t>Højre side + resten af front/bag (~12,4 m)</t>
        </is>
      </c>
      <c r="I26" s="122" t="inlineStr">
        <is>
          <t>Yard</t>
        </is>
      </c>
    </row>
    <row r="27">
      <c r="A27" s="115" t="inlineStr">
        <is>
          <t>Tagdækning</t>
        </is>
      </c>
      <c r="B27" s="97" t="inlineStr">
        <is>
          <t>Swisspearl B7 bølgeplade FK 1100×570 sortblå (yard)</t>
        </is>
      </c>
      <c r="C27" s="97" t="n">
        <v>37</v>
      </c>
      <c r="D27" s="102" t="inlineStr">
        <is>
          <t>stk</t>
        </is>
      </c>
      <c r="E27" s="103" t="n">
        <v>95</v>
      </c>
      <c r="F27" s="103">
        <f>C27*E27</f>
        <v/>
      </c>
      <c r="G27" s="104" t="inlineStr">
        <is>
          <t>bygxtra.dk</t>
        </is>
      </c>
      <c r="H27" s="105" t="inlineStr">
        <is>
          <t>5 plader × 7 rækker + 5 % spild</t>
        </is>
      </c>
      <c r="I27" s="122" t="inlineStr">
        <is>
          <t>Yard</t>
        </is>
      </c>
    </row>
    <row r="28">
      <c r="A28" s="115" t="inlineStr">
        <is>
          <t>Tagdækning</t>
        </is>
      </c>
      <c r="B28" s="97" t="inlineStr">
        <is>
          <t>Swisspearl 100 Tagskrue 6×100 (100-pak) (yard)</t>
        </is>
      </c>
      <c r="C28" s="97" t="n">
        <v>2</v>
      </c>
      <c r="D28" s="102" t="inlineStr">
        <is>
          <t>pak</t>
        </is>
      </c>
      <c r="E28" s="103" t="n">
        <v>425</v>
      </c>
      <c r="F28" s="103">
        <f>C28*E28</f>
        <v/>
      </c>
      <c r="G28" s="104" t="inlineStr">
        <is>
          <t>davidsen.dk</t>
        </is>
      </c>
      <c r="H28" s="105" t="inlineStr">
        <is>
          <t>2 pr. plade × 35 + spild</t>
        </is>
      </c>
      <c r="I28" s="122" t="inlineStr">
        <is>
          <t>Yard</t>
        </is>
      </c>
    </row>
    <row r="29">
      <c r="A29" s="115" t="inlineStr">
        <is>
          <t>Tagdækning</t>
        </is>
      </c>
      <c r="B29" s="97" t="inlineStr">
        <is>
          <t>Swisspearl PVC skumstrimmel 4,5 mm</t>
        </is>
      </c>
      <c r="C29" s="97" t="n">
        <v>1</v>
      </c>
      <c r="D29" s="102" t="inlineStr">
        <is>
          <t>rl.</t>
        </is>
      </c>
      <c r="E29" s="103" t="n"/>
      <c r="F29" s="97" t="n"/>
      <c r="G29" s="97" t="inlineStr">
        <is>
          <t>Cembrit</t>
        </is>
      </c>
      <c r="H29" s="105" t="inlineStr">
        <is>
          <t>TBD pris — overlap-tætning, én rulle deler</t>
        </is>
      </c>
      <c r="I29" s="107" t="inlineStr">
        <is>
          <t>Fælles</t>
        </is>
      </c>
    </row>
    <row r="30">
      <c r="A30" s="115" t="inlineStr">
        <is>
          <t>Beslag</t>
        </is>
      </c>
      <c r="B30" s="97" t="inlineStr">
        <is>
          <t>Paslode vinkelbeslag 90×90×40 (20-pak) (yard)</t>
        </is>
      </c>
      <c r="C30" s="97" t="n">
        <v>2</v>
      </c>
      <c r="D30" s="102" t="inlineStr">
        <is>
          <t>pak</t>
        </is>
      </c>
      <c r="E30" s="103" t="n"/>
      <c r="F30" s="97" t="n"/>
      <c r="G30" s="104" t="inlineStr">
        <is>
          <t>wood-online.dk</t>
        </is>
      </c>
      <c r="H30" s="105" t="inlineStr">
        <is>
          <t>TBD pris — ~34 stk på yard-spær</t>
        </is>
      </c>
      <c r="I30" s="122" t="inlineStr">
        <is>
          <t>Yard</t>
        </is>
      </c>
    </row>
    <row r="31">
      <c r="A31" s="115" t="inlineStr">
        <is>
          <t>Beslag</t>
        </is>
      </c>
      <c r="B31" s="97" t="inlineStr">
        <is>
          <t>Lægtesøm varmforzinket 2,8×60</t>
        </is>
      </c>
      <c r="C31" s="97" t="n"/>
      <c r="D31" s="102" t="inlineStr">
        <is>
          <t>stk</t>
        </is>
      </c>
      <c r="E31" s="103" t="n"/>
      <c r="F31" s="97" t="n"/>
      <c r="G31" s="97" t="inlineStr">
        <is>
          <t>jemogfix.dk</t>
        </is>
      </c>
      <c r="H31" s="105" t="inlineStr">
        <is>
          <t>TBD antal + pris</t>
        </is>
      </c>
      <c r="I31" s="107" t="inlineStr">
        <is>
          <t>Fælles</t>
        </is>
      </c>
    </row>
    <row r="32">
      <c r="A32" s="97" t="n"/>
      <c r="B32" s="97" t="n"/>
      <c r="C32" s="97" t="n"/>
      <c r="D32" s="97" t="n"/>
      <c r="E32" s="116" t="inlineStr">
        <is>
          <t>Tagkonstruktion (eternit_b7) subtotal:</t>
        </is>
      </c>
      <c r="F32" s="109">
        <f>SUM(F24:F31)</f>
        <v/>
      </c>
      <c r="G32" s="97" t="n"/>
      <c r="H32" s="97" t="n"/>
      <c r="I32" s="97" t="n"/>
    </row>
    <row r="34" ht="20" customHeight="1" s="67">
      <c r="A34" s="117" t="inlineStr">
        <is>
          <t xml:space="preserve">  Beklædning / voliere (klink)</t>
        </is>
      </c>
      <c r="B34" s="118" t="n"/>
      <c r="C34" s="118" t="n"/>
      <c r="D34" s="118" t="n"/>
      <c r="E34" s="118" t="n"/>
      <c r="F34" s="118" t="n"/>
      <c r="G34" s="118" t="n"/>
      <c r="H34" s="118" t="n"/>
      <c r="I34" s="118" t="n"/>
    </row>
    <row r="35">
      <c r="A35" s="119" t="inlineStr">
        <is>
          <t>Voliere</t>
        </is>
      </c>
      <c r="B35" s="97" t="inlineStr">
        <is>
          <t>Voliernet welded 13×13 mm</t>
        </is>
      </c>
      <c r="C35" s="97" t="n">
        <v>2</v>
      </c>
      <c r="D35" s="102" t="inlineStr">
        <is>
          <t>stk</t>
        </is>
      </c>
      <c r="E35" s="103" t="n">
        <v>1350</v>
      </c>
      <c r="F35" s="103">
        <f>C35*E35</f>
        <v/>
      </c>
      <c r="G35" s="97" t="inlineStr">
        <is>
          <t>(ukendt)</t>
        </is>
      </c>
      <c r="H35" s="105" t="inlineStr">
        <is>
          <t>1×10 m + 1×25 m — yard front+back+right</t>
        </is>
      </c>
      <c r="I35" s="122" t="inlineStr">
        <is>
          <t>Yard</t>
        </is>
      </c>
    </row>
    <row r="36">
      <c r="A36" s="119" t="inlineStr">
        <is>
          <t>Voliere</t>
        </is>
      </c>
      <c r="B36" s="97" t="inlineStr">
        <is>
          <t>Klamper til voliernet</t>
        </is>
      </c>
      <c r="C36" s="97" t="n"/>
      <c r="D36" s="102" t="inlineStr">
        <is>
          <t>stk</t>
        </is>
      </c>
      <c r="E36" s="103" t="n"/>
      <c r="F36" s="97" t="n"/>
      <c r="G36" s="97" t="inlineStr">
        <is>
          <t>jemogfix.dk</t>
        </is>
      </c>
      <c r="H36" s="105" t="inlineStr">
        <is>
          <t>TBD antal + pris</t>
        </is>
      </c>
      <c r="I36" s="122" t="inlineStr">
        <is>
          <t>Yard</t>
        </is>
      </c>
    </row>
    <row r="37">
      <c r="A37" s="97" t="n"/>
      <c r="B37" s="97" t="n"/>
      <c r="C37" s="97" t="n"/>
      <c r="D37" s="97" t="n"/>
      <c r="E37" s="93" t="inlineStr">
        <is>
          <t>Beklædning / voliere (klink) subtotal:</t>
        </is>
      </c>
      <c r="F37" s="109">
        <f>SUM(F35:F36)</f>
        <v/>
      </c>
      <c r="G37" s="97" t="n"/>
      <c r="H37" s="97" t="n"/>
      <c r="I37" s="97" t="n"/>
    </row>
    <row r="40" ht="26" customHeight="1" s="67">
      <c r="A40" s="97" t="n"/>
      <c r="B40" s="97" t="n"/>
      <c r="C40" s="97" t="n"/>
      <c r="D40" s="97" t="n"/>
      <c r="E40" s="120" t="inlineStr">
        <is>
          <t>Yard-ONLY TOTAL:</t>
        </is>
      </c>
      <c r="F40" s="121">
        <f>F12+F21+F32+F37</f>
        <v/>
      </c>
      <c r="G40" s="97" t="n"/>
      <c r="H40" s="97" t="n"/>
      <c r="I40" s="97" t="n"/>
    </row>
  </sheetData>
  <mergeCells count="5">
    <mergeCell ref="A14:I14"/>
    <mergeCell ref="A1:I1"/>
    <mergeCell ref="A23:I23"/>
    <mergeCell ref="A34:I34"/>
    <mergeCell ref="A4:I4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7" r:id="rId10"/>
    <hyperlink xmlns:r="http://schemas.openxmlformats.org/officeDocument/2006/relationships" ref="G18" r:id="rId11"/>
    <hyperlink xmlns:r="http://schemas.openxmlformats.org/officeDocument/2006/relationships" ref="G19" r:id="rId12"/>
    <hyperlink xmlns:r="http://schemas.openxmlformats.org/officeDocument/2006/relationships" ref="G20" r:id="rId13"/>
    <hyperlink xmlns:r="http://schemas.openxmlformats.org/officeDocument/2006/relationships" ref="G24" r:id="rId14"/>
    <hyperlink xmlns:r="http://schemas.openxmlformats.org/officeDocument/2006/relationships" ref="G25" r:id="rId15"/>
    <hyperlink xmlns:r="http://schemas.openxmlformats.org/officeDocument/2006/relationships" ref="G26" r:id="rId16"/>
    <hyperlink xmlns:r="http://schemas.openxmlformats.org/officeDocument/2006/relationships" ref="G27" r:id="rId17"/>
    <hyperlink xmlns:r="http://schemas.openxmlformats.org/officeDocument/2006/relationships" ref="G28" r:id="rId18"/>
    <hyperlink xmlns:r="http://schemas.openxmlformats.org/officeDocument/2006/relationships" ref="G30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0" customWidth="1" style="67" min="1" max="1"/>
    <col width="18" customWidth="1" style="67" min="2" max="2"/>
    <col width="32" customWidth="1" style="67" min="3" max="3"/>
    <col width="8" customWidth="1" style="67" min="4" max="4"/>
    <col width="8" customWidth="1" style="67" min="5" max="5"/>
    <col width="11" customWidth="1" style="67" min="6" max="6"/>
    <col width="13" customWidth="1" style="67" min="7" max="7"/>
    <col width="12" customWidth="1" style="67" min="8" max="8"/>
    <col width="13" customWidth="1" style="67" min="9" max="9"/>
    <col width="14" customWidth="1" style="67" min="10" max="10"/>
    <col width="16" customWidth="1" style="67" min="11" max="11"/>
    <col width="60" customWidth="1" style="67" min="12" max="12"/>
  </cols>
  <sheetData>
    <row r="1" ht="24" customHeight="1" s="67">
      <c r="A1" s="98" t="inlineStr">
        <is>
          <t>Beklædning — prissammenligning ved 16 m² netto facadeareal</t>
        </is>
      </c>
    </row>
    <row r="3" ht="20" customHeight="1" s="67">
      <c r="A3" s="123" t="inlineStr">
        <is>
          <t>Produkt</t>
        </is>
      </c>
      <c r="B3" s="123" t="inlineStr">
        <is>
          <t>Mønster</t>
        </is>
      </c>
      <c r="C3" s="123" t="inlineStr">
        <is>
          <t>Materiale</t>
        </is>
      </c>
      <c r="D3" s="123" t="inlineStr">
        <is>
          <t>Antal</t>
        </is>
      </c>
      <c r="E3" s="123" t="inlineStr">
        <is>
          <t>Enhed</t>
        </is>
      </c>
      <c r="F3" s="123" t="inlineStr">
        <is>
          <t>Pris/enh</t>
        </is>
      </c>
      <c r="G3" s="123" t="inlineStr">
        <is>
          <t>Material kr</t>
        </is>
      </c>
      <c r="H3" s="123" t="inlineStr">
        <is>
          <t>Behandl. kr</t>
        </is>
      </c>
      <c r="I3" s="123" t="inlineStr">
        <is>
          <t>TOTAL</t>
        </is>
      </c>
      <c r="J3" s="123" t="inlineStr">
        <is>
          <t>Δ vs billigst</t>
        </is>
      </c>
      <c r="K3" s="123" t="inlineStr">
        <is>
          <t>Leverandør</t>
        </is>
      </c>
      <c r="L3" s="123" t="inlineStr">
        <is>
          <t>Note</t>
        </is>
      </c>
    </row>
    <row r="4">
      <c r="A4" s="97" t="inlineStr">
        <is>
          <t>Imp. klinkbeklædning gran 25×125×3600</t>
        </is>
      </c>
      <c r="B4" s="124" t="inlineStr">
        <is>
          <t>Klink horisontal</t>
        </is>
      </c>
      <c r="C4" s="97" t="inlineStr">
        <is>
          <t>Trykimp. gran (ubehandlet ud over imp.)</t>
        </is>
      </c>
      <c r="D4" s="125" t="n">
        <v>43</v>
      </c>
      <c r="E4" s="102" t="inlineStr">
        <is>
          <t>stk</t>
        </is>
      </c>
      <c r="F4" s="126" t="n">
        <v>60.3</v>
      </c>
      <c r="G4" s="126">
        <f>D4*F4</f>
        <v/>
      </c>
      <c r="H4" s="127" t="n">
        <v>0</v>
      </c>
      <c r="I4" s="109">
        <f>G4+H4</f>
        <v/>
      </c>
      <c r="J4" s="85" t="n"/>
      <c r="K4" s="104" t="inlineStr">
        <is>
          <t>jemogfix.dk</t>
        </is>
      </c>
      <c r="L4" s="105" t="inlineStr">
        <is>
          <t>Billigste klink. Grøn-grålig fra start; kan males sort senere (+~450 kr)</t>
        </is>
      </c>
    </row>
    <row r="5">
      <c r="A5" s="97" t="inlineStr">
        <is>
          <t>Klinkbeklædning sortmalet gran 25×125×4200 (6-pak)</t>
        </is>
      </c>
      <c r="B5" s="124" t="inlineStr">
        <is>
          <t>Klink horisontal</t>
        </is>
      </c>
      <c r="C5" s="97" t="inlineStr">
        <is>
          <t>Gran, færdig sortmalet vandbaseret RAL 9005</t>
        </is>
      </c>
      <c r="D5" s="125" t="n">
        <v>6</v>
      </c>
      <c r="E5" s="102" t="inlineStr">
        <is>
          <t>pak</t>
        </is>
      </c>
      <c r="F5" s="126" t="n">
        <v>497.7</v>
      </c>
      <c r="G5" s="126">
        <f>D5*F5</f>
        <v/>
      </c>
      <c r="H5" s="127" t="n">
        <v>0</v>
      </c>
      <c r="I5" s="128">
        <f>G5+H5</f>
        <v/>
      </c>
      <c r="J5" s="94" t="n">
        <v>393.2999999999997</v>
      </c>
      <c r="K5" s="104" t="inlineStr">
        <is>
          <t>jemogfix.dk</t>
        </is>
      </c>
      <c r="L5" s="105" t="inlineStr">
        <is>
          <t>Klar til at montere. Klassisk skur/sommerhus-look. 6 stk pr. pak = 25,2 m linear</t>
        </is>
      </c>
    </row>
    <row r="6">
      <c r="A6" s="97" t="inlineStr">
        <is>
          <t>Aros 1-på-2 svensk gran 25×150 savskåret</t>
        </is>
      </c>
      <c r="B6" s="122" t="inlineStr">
        <is>
          <t>1-på-2 lodret (bob)</t>
        </is>
      </c>
      <c r="C6" s="97" t="inlineStr">
        <is>
          <t>Savskåret svensk gran (FSC)</t>
        </is>
      </c>
      <c r="D6" s="125" t="n">
        <v>16</v>
      </c>
      <c r="E6" s="102" t="inlineStr">
        <is>
          <t>m²</t>
        </is>
      </c>
      <c r="F6" s="126" t="n">
        <v>160</v>
      </c>
      <c r="G6" s="126">
        <f>D6*F6</f>
        <v/>
      </c>
      <c r="H6" s="127" t="n">
        <v>450</v>
      </c>
      <c r="I6" s="128">
        <f>G6+H6</f>
        <v/>
      </c>
      <c r="J6" s="94" t="n">
        <v>417.0999999999999</v>
      </c>
      <c r="K6" s="104" t="inlineStr">
        <is>
          <t>arossavvaerk.dk</t>
        </is>
      </c>
      <c r="L6" s="105" t="inlineStr">
        <is>
          <t>Tilbudspris 160 (normal 225). Rustic look. Behandling påkrævet før montage</t>
        </is>
      </c>
    </row>
    <row r="7">
      <c r="A7" s="97" t="inlineStr">
        <is>
          <t>Beklædning lodret sort 25×125×3000 (4-pak)</t>
        </is>
      </c>
      <c r="B7" s="91" t="inlineStr">
        <is>
          <t>Klink lodret</t>
        </is>
      </c>
      <c r="C7" s="97" t="inlineStr">
        <is>
          <t>Skandinavisk gran (FSC), færdig sortmalet vandbaseret</t>
        </is>
      </c>
      <c r="D7" s="125" t="n">
        <v>13</v>
      </c>
      <c r="E7" s="102" t="inlineStr">
        <is>
          <t>pak</t>
        </is>
      </c>
      <c r="F7" s="126" t="n">
        <v>359.4</v>
      </c>
      <c r="G7" s="126">
        <f>D7*F7</f>
        <v/>
      </c>
      <c r="H7" s="127" t="n">
        <v>0</v>
      </c>
      <c r="I7" s="128">
        <f>G7+H7</f>
        <v/>
      </c>
      <c r="J7" s="94" t="n">
        <v>2079.3</v>
      </c>
      <c r="K7" s="104" t="inlineStr">
        <is>
          <t>jemogfix.dk</t>
        </is>
      </c>
      <c r="L7" s="105" t="inlineStr">
        <is>
          <t>Lodret klink-profil, færdig sort. 4 stk pr. pak = 12 m linear. Moderne lade-look</t>
        </is>
      </c>
    </row>
    <row r="8">
      <c r="A8" s="97" t="inlineStr">
        <is>
          <t>Høvlet forskalling fyr 22×100×3600 UBEHANDLET</t>
        </is>
      </c>
      <c r="B8" s="122" t="inlineStr">
        <is>
          <t>1-på-2 lodret (bob)</t>
        </is>
      </c>
      <c r="C8" s="97" t="inlineStr">
        <is>
          <t>Fyr, høvlet, ubehandlet</t>
        </is>
      </c>
      <c r="D8" s="125" t="n">
        <v>120</v>
      </c>
      <c r="E8" s="102" t="inlineStr">
        <is>
          <t>stk</t>
        </is>
      </c>
      <c r="F8" s="126" t="n">
        <v>35.82</v>
      </c>
      <c r="G8" s="126">
        <f>D8*F8</f>
        <v/>
      </c>
      <c r="H8" s="127" t="n">
        <v>600</v>
      </c>
      <c r="I8" s="128">
        <f>G8+H8</f>
        <v/>
      </c>
      <c r="J8" s="94" t="n">
        <v>2305.5</v>
      </c>
      <c r="K8" s="104" t="inlineStr">
        <is>
          <t>jemogfix.dk</t>
        </is>
      </c>
      <c r="L8" s="105" t="inlineStr">
        <is>
          <t>Jemogfix advarer mod udendørs ubehandlet. Kræver Gori/Pinotex × 3 lag</t>
        </is>
      </c>
    </row>
    <row r="9">
      <c r="A9" s="97" t="inlineStr">
        <is>
          <t>Imprægneret høvlet fyr 25×125×3600</t>
        </is>
      </c>
      <c r="B9" s="122" t="inlineStr">
        <is>
          <t>1-på-2 lodret (bob)</t>
        </is>
      </c>
      <c r="C9" s="97" t="inlineStr">
        <is>
          <t>Trykimp. fyr, høvlet</t>
        </is>
      </c>
      <c r="D9" s="125" t="n">
        <v>81</v>
      </c>
      <c r="E9" s="102" t="inlineStr">
        <is>
          <t>stk</t>
        </is>
      </c>
      <c r="F9" s="126" t="n">
        <v>63.9</v>
      </c>
      <c r="G9" s="126">
        <f>D9*F9</f>
        <v/>
      </c>
      <c r="H9" s="127" t="n">
        <v>0</v>
      </c>
      <c r="I9" s="128">
        <f>G9+H9</f>
        <v/>
      </c>
      <c r="J9" s="94" t="n">
        <v>2583</v>
      </c>
      <c r="K9" s="104" t="inlineStr">
        <is>
          <t>jemogfix.dk</t>
        </is>
      </c>
      <c r="L9" s="105" t="inlineStr">
        <is>
          <t>Udendørs-godkendt. Grøn-brun farve fra imp. Kan males (+~450 kr)</t>
        </is>
      </c>
    </row>
    <row r="12">
      <c r="A12" s="83" t="inlineStr">
        <is>
          <t>Læsevejledning</t>
        </is>
      </c>
    </row>
    <row r="13">
      <c r="A13" s="68" t="inlineStr">
        <is>
          <t>•  Antal er beregnet for 16 m² netto vægareal (4 hus-vægge minus side-vindue + dør + kanindør).</t>
        </is>
      </c>
    </row>
    <row r="14">
      <c r="A14" s="68" t="inlineStr">
        <is>
          <t>•  Behandl. kr = ekstra behandlingsomkostning (træolie/maling) der KRÆVES før montage. 0 hvis produktet er færdigbehandlet eller trykimp.</t>
        </is>
      </c>
    </row>
    <row r="15">
      <c r="A15" s="68" t="inlineStr">
        <is>
          <t>•  Klink-produkter har færdig profil (overlapper indbygget). 1-på-2 (bob) bruger to lag rå brædder; kræver mere arbejde at montere.</t>
        </is>
      </c>
    </row>
    <row r="16">
      <c r="A16" s="68" t="inlineStr">
        <is>
          <t>•  Mønster-farven matcher beklædnings-sheet i resten af workbook'en: blå = klink, grøn = bob, gul = lodret klink.</t>
        </is>
      </c>
    </row>
    <row r="17">
      <c r="A17" s="68" t="inlineStr">
        <is>
          <t>•  TOTAL inkluderer IKKE: voliernet, vindpap, klemmelister, isolering, hjørnetrim (~2.000-2.500 kr fælles, se beklaedning_* sheets).</t>
        </is>
      </c>
    </row>
  </sheetData>
  <mergeCells count="7">
    <mergeCell ref="A16:L16"/>
    <mergeCell ref="A15:L15"/>
    <mergeCell ref="A1:L1"/>
    <mergeCell ref="A13:L13"/>
    <mergeCell ref="A14:L14"/>
    <mergeCell ref="A12:F12"/>
    <mergeCell ref="A17:L17"/>
  </mergeCell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67" min="1" max="1"/>
    <col width="50" customWidth="1" style="67" min="2" max="2"/>
    <col width="8" customWidth="1" style="67" min="3" max="3"/>
    <col width="8" customWidth="1" style="67" min="4" max="4"/>
    <col width="16" customWidth="1" style="67" min="5" max="5"/>
    <col width="14" customWidth="1" style="67" min="6" max="6"/>
    <col width="24" customWidth="1" style="67" min="7" max="7"/>
    <col width="60" customWidth="1" style="67" min="8" max="8"/>
    <col width="10" customWidth="1" style="67" min="9" max="9"/>
  </cols>
  <sheetData>
    <row r="1" ht="22" customHeight="1" s="67">
      <c r="A1" s="99" t="inlineStr">
        <is>
          <t>Kategori</t>
        </is>
      </c>
      <c r="B1" s="99" t="inlineStr">
        <is>
          <t>Vare</t>
        </is>
      </c>
      <c r="C1" s="99" t="inlineStr">
        <is>
          <t>Antal</t>
        </is>
      </c>
      <c r="D1" s="99" t="inlineStr">
        <is>
          <t>Enhed</t>
        </is>
      </c>
      <c r="E1" s="99" t="inlineStr">
        <is>
          <t>Pris pr. enhed (DKK)</t>
        </is>
      </c>
      <c r="F1" s="99" t="inlineStr">
        <is>
          <t>I alt (DKK)</t>
        </is>
      </c>
      <c r="G1" s="99" t="inlineStr">
        <is>
          <t>Leverandør</t>
        </is>
      </c>
      <c r="H1" s="99" t="inlineStr">
        <is>
          <t>Noter</t>
        </is>
      </c>
      <c r="I1" s="99" t="inlineStr">
        <is>
          <t>Zone</t>
        </is>
      </c>
    </row>
    <row r="2">
      <c r="A2" s="84" t="inlineStr">
        <is>
          <t>Fundament</t>
        </is>
      </c>
      <c r="B2" s="97" t="inlineStr">
        <is>
          <t>Stabilgrus 0-32 mm (hus)</t>
        </is>
      </c>
      <c r="C2" s="97" t="n">
        <v>510</v>
      </c>
      <c r="D2" s="102" t="inlineStr">
        <is>
          <t>kg</t>
        </is>
      </c>
      <c r="E2" s="103" t="n">
        <v>0.55</v>
      </c>
      <c r="F2" s="103">
        <f>C2*E2</f>
        <v/>
      </c>
      <c r="G2" s="104" t="inlineStr">
        <is>
          <t>materialepladsen.dk</t>
        </is>
      </c>
      <c r="H2" s="105" t="inlineStr">
        <is>
          <t>Under hus-strips (~0,30 m³)</t>
        </is>
      </c>
      <c r="I2" s="106" t="inlineStr">
        <is>
          <t>Hus</t>
        </is>
      </c>
    </row>
    <row r="3">
      <c r="A3" s="129" t="inlineStr">
        <is>
          <t>Fundament</t>
        </is>
      </c>
      <c r="B3" s="97" t="inlineStr">
        <is>
          <t>Stabilgrus 0-32 mm (yard)</t>
        </is>
      </c>
      <c r="C3" s="97" t="n">
        <v>560</v>
      </c>
      <c r="D3" s="102" t="inlineStr">
        <is>
          <t>kg</t>
        </is>
      </c>
      <c r="E3" s="103" t="n">
        <v>0.55</v>
      </c>
      <c r="F3" s="103">
        <f>C3*E3</f>
        <v/>
      </c>
      <c r="G3" s="104" t="inlineStr">
        <is>
          <t>materialepladsen.dk</t>
        </is>
      </c>
      <c r="H3" s="105" t="inlineStr">
        <is>
          <t>Under yard-strips (~0,33 m³)</t>
        </is>
      </c>
      <c r="I3" s="122" t="inlineStr">
        <is>
          <t>Yard</t>
        </is>
      </c>
    </row>
    <row r="4">
      <c r="A4" s="129" t="inlineStr">
        <is>
          <t>Fundament</t>
        </is>
      </c>
      <c r="B4" s="97" t="inlineStr">
        <is>
          <t>Fundablok 50x20x15 cm (hus)</t>
        </is>
      </c>
      <c r="C4" s="97" t="n">
        <v>86</v>
      </c>
      <c r="D4" s="102" t="inlineStr">
        <is>
          <t>stk</t>
        </is>
      </c>
      <c r="E4" s="103" t="n">
        <v>15.75</v>
      </c>
      <c r="F4" s="103">
        <f>C4*E4</f>
        <v/>
      </c>
      <c r="G4" s="104" t="inlineStr">
        <is>
          <t>jemogfix.dk</t>
        </is>
      </c>
      <c r="H4" s="105" t="inlineStr">
        <is>
          <t>2000x3000 ring, 4 skifter halvstensforbandt — 80 + buffer</t>
        </is>
      </c>
      <c r="I4" s="106" t="inlineStr">
        <is>
          <t>Hus</t>
        </is>
      </c>
    </row>
    <row r="5">
      <c r="A5" s="129" t="inlineStr">
        <is>
          <t>Fundament</t>
        </is>
      </c>
      <c r="B5" s="97" t="inlineStr">
        <is>
          <t>Fundablok 50x20x15 cm (yard)</t>
        </is>
      </c>
      <c r="C5" s="97" t="n">
        <v>94</v>
      </c>
      <c r="D5" s="102" t="inlineStr">
        <is>
          <t>stk</t>
        </is>
      </c>
      <c r="E5" s="103" t="n">
        <v>15.75</v>
      </c>
      <c r="F5" s="103">
        <f>C5*E5</f>
        <v/>
      </c>
      <c r="G5" s="104" t="inlineStr">
        <is>
          <t>jemogfix.dk</t>
        </is>
      </c>
      <c r="H5" s="105" t="inlineStr">
        <is>
          <t>3-sidet ring (V5 = hus), 4 skifter halvstensforbandt — 88 + buffer</t>
        </is>
      </c>
      <c r="I5" s="122" t="inlineStr">
        <is>
          <t>Yard</t>
        </is>
      </c>
    </row>
    <row r="6">
      <c r="A6" s="129" t="inlineStr">
        <is>
          <t>Fundament</t>
        </is>
      </c>
      <c r="B6" s="97" t="inlineStr">
        <is>
          <t>Kamstål Ø10 mm × 3 m (hus)</t>
        </is>
      </c>
      <c r="C6" s="97" t="n">
        <v>18</v>
      </c>
      <c r="D6" s="102" t="inlineStr">
        <is>
          <t>stk</t>
        </is>
      </c>
      <c r="E6" s="103" t="n">
        <v>45</v>
      </c>
      <c r="F6" s="103">
        <f>C6*E6</f>
        <v/>
      </c>
      <c r="G6" s="104" t="inlineStr">
        <is>
          <t>jemogfix.dk</t>
        </is>
      </c>
      <c r="H6" s="105" t="inlineStr">
        <is>
          <t>est. — 2 bund (8 stk for 10 m) + 2 top (8 stk) + 2 lodrette</t>
        </is>
      </c>
      <c r="I6" s="106" t="inlineStr">
        <is>
          <t>Hus</t>
        </is>
      </c>
    </row>
    <row r="7">
      <c r="A7" s="129" t="inlineStr">
        <is>
          <t>Fundament</t>
        </is>
      </c>
      <c r="B7" s="97" t="inlineStr">
        <is>
          <t>Kamstål Ø10 mm × 3 m (yard)</t>
        </is>
      </c>
      <c r="C7" s="97" t="n">
        <v>18</v>
      </c>
      <c r="D7" s="102" t="inlineStr">
        <is>
          <t>stk</t>
        </is>
      </c>
      <c r="E7" s="103" t="n">
        <v>45</v>
      </c>
      <c r="F7" s="103">
        <f>C7*E7</f>
        <v/>
      </c>
      <c r="G7" s="104" t="inlineStr">
        <is>
          <t>jemogfix.dk</t>
        </is>
      </c>
      <c r="H7" s="105" t="inlineStr">
        <is>
          <t>est. — 2 bund (8 stk for 11 m) + 2 top (8 stk) + 2 lodrette</t>
        </is>
      </c>
      <c r="I7" s="122" t="inlineStr">
        <is>
          <t>Yard</t>
        </is>
      </c>
    </row>
    <row r="8">
      <c r="A8" s="129" t="inlineStr">
        <is>
          <t>Fundament</t>
        </is>
      </c>
      <c r="B8" s="97" t="inlineStr">
        <is>
          <t>Cement 25 kg (hus)</t>
        </is>
      </c>
      <c r="C8" s="97" t="n">
        <v>10</v>
      </c>
      <c r="D8" s="102" t="inlineStr">
        <is>
          <t>stk</t>
        </is>
      </c>
      <c r="E8" s="103" t="n">
        <v>75</v>
      </c>
      <c r="F8" s="103">
        <f>C8*E8</f>
        <v/>
      </c>
      <c r="G8" s="104" t="inlineStr">
        <is>
          <t>jemogfix.dk</t>
        </is>
      </c>
      <c r="H8" s="105" t="inlineStr">
        <is>
          <t>1:4 blanding, ~300 L beton</t>
        </is>
      </c>
      <c r="I8" s="106" t="inlineStr">
        <is>
          <t>Hus</t>
        </is>
      </c>
    </row>
    <row r="9">
      <c r="A9" s="129" t="inlineStr">
        <is>
          <t>Fundament</t>
        </is>
      </c>
      <c r="B9" s="97" t="inlineStr">
        <is>
          <t>Cement 25 kg (yard)</t>
        </is>
      </c>
      <c r="C9" s="97" t="n">
        <v>11</v>
      </c>
      <c r="D9" s="102" t="inlineStr">
        <is>
          <t>stk</t>
        </is>
      </c>
      <c r="E9" s="103" t="n">
        <v>75</v>
      </c>
      <c r="F9" s="103">
        <f>C9*E9</f>
        <v/>
      </c>
      <c r="G9" s="104" t="inlineStr">
        <is>
          <t>jemogfix.dk</t>
        </is>
      </c>
      <c r="H9" s="105" t="inlineStr">
        <is>
          <t>1:4 blanding, ~330 L beton</t>
        </is>
      </c>
      <c r="I9" s="122" t="inlineStr">
        <is>
          <t>Yard</t>
        </is>
      </c>
    </row>
    <row r="10">
      <c r="A10" s="129" t="inlineStr">
        <is>
          <t>Fundament</t>
        </is>
      </c>
      <c r="B10" s="97" t="inlineStr">
        <is>
          <t>Støbemix 0-16 mm (hus)</t>
        </is>
      </c>
      <c r="C10" s="97" t="n">
        <v>625</v>
      </c>
      <c r="D10" s="102" t="inlineStr">
        <is>
          <t>kg</t>
        </is>
      </c>
      <c r="E10" s="103" t="n">
        <v>0.66</v>
      </c>
      <c r="F10" s="103">
        <f>C10*E10</f>
        <v/>
      </c>
      <c r="G10" s="104" t="inlineStr">
        <is>
          <t>materialepladsen.dk</t>
        </is>
      </c>
      <c r="H10" s="105" t="inlineStr">
        <is>
          <t>ca. 0,38 m³</t>
        </is>
      </c>
      <c r="I10" s="106" t="inlineStr">
        <is>
          <t>Hus</t>
        </is>
      </c>
    </row>
    <row r="11">
      <c r="A11" s="129" t="inlineStr">
        <is>
          <t>Fundament</t>
        </is>
      </c>
      <c r="B11" s="97" t="inlineStr">
        <is>
          <t>Støbemix 0-16 mm (yard)</t>
        </is>
      </c>
      <c r="C11" s="97" t="n">
        <v>705</v>
      </c>
      <c r="D11" s="102" t="inlineStr">
        <is>
          <t>kg</t>
        </is>
      </c>
      <c r="E11" s="103" t="n">
        <v>0.66</v>
      </c>
      <c r="F11" s="103">
        <f>C11*E11</f>
        <v/>
      </c>
      <c r="G11" s="104" t="inlineStr">
        <is>
          <t>materialepladsen.dk</t>
        </is>
      </c>
      <c r="H11" s="105" t="inlineStr">
        <is>
          <t>ca. 0,43 m³</t>
        </is>
      </c>
      <c r="I11" s="122" t="inlineStr">
        <is>
          <t>Yard</t>
        </is>
      </c>
    </row>
    <row r="12">
      <c r="A12" s="129" t="inlineStr">
        <is>
          <t>Fundament</t>
        </is>
      </c>
      <c r="B12" s="97" t="inlineStr">
        <is>
          <t>Ankerskrue M10 × 120 mm (hus)</t>
        </is>
      </c>
      <c r="C12" s="97" t="n">
        <v>10</v>
      </c>
      <c r="D12" s="102" t="inlineStr">
        <is>
          <t>stk</t>
        </is>
      </c>
      <c r="E12" s="103" t="n">
        <v>14.95</v>
      </c>
      <c r="F12" s="103">
        <f>C12*E12</f>
        <v/>
      </c>
      <c r="G12" s="104" t="inlineStr">
        <is>
          <t>jemogfix.dk</t>
        </is>
      </c>
      <c r="H12" s="105" t="inlineStr">
        <is>
          <t>est. — bundrem-fast: 2 på V1, 2 på V2, 3 på V3, 3 på V5</t>
        </is>
      </c>
      <c r="I12" s="106" t="inlineStr">
        <is>
          <t>Hus</t>
        </is>
      </c>
    </row>
    <row r="13">
      <c r="A13" s="129" t="inlineStr">
        <is>
          <t>Fundament</t>
        </is>
      </c>
      <c r="B13" s="97" t="inlineStr">
        <is>
          <t>Ankerskrue M10 × 120 mm (yard)</t>
        </is>
      </c>
      <c r="C13" s="97" t="n">
        <v>11</v>
      </c>
      <c r="D13" s="102" t="inlineStr">
        <is>
          <t>stk</t>
        </is>
      </c>
      <c r="E13" s="103" t="n">
        <v>14.95</v>
      </c>
      <c r="F13" s="103">
        <f>C13*E13</f>
        <v/>
      </c>
      <c r="G13" s="104" t="inlineStr">
        <is>
          <t>jemogfix.dk</t>
        </is>
      </c>
      <c r="H13" s="105" t="inlineStr">
        <is>
          <t>est. — 4 på V1, 4 på V2, 3 på V4</t>
        </is>
      </c>
      <c r="I13" s="122" t="inlineStr">
        <is>
          <t>Yard</t>
        </is>
      </c>
    </row>
    <row r="14">
      <c r="A14" s="129" t="inlineStr">
        <is>
          <t>Fundament</t>
        </is>
      </c>
      <c r="B14" s="97" t="inlineStr">
        <is>
          <t>M10 møtrikker + skiver (12-pak)</t>
        </is>
      </c>
      <c r="C14" s="97" t="n">
        <v>2</v>
      </c>
      <c r="D14" s="102" t="inlineStr">
        <is>
          <t>pk.</t>
        </is>
      </c>
      <c r="E14" s="103" t="n">
        <v>28.95</v>
      </c>
      <c r="F14" s="103">
        <f>C14*E14</f>
        <v/>
      </c>
      <c r="G14" s="104" t="inlineStr">
        <is>
          <t>jemogfix.dk</t>
        </is>
      </c>
      <c r="H14" s="105" t="inlineStr">
        <is>
          <t>Fastgør bundrem til ankerskrue ovenfra (1 pak pr. zone)</t>
        </is>
      </c>
      <c r="I14" s="107" t="inlineStr">
        <is>
          <t>Fælles</t>
        </is>
      </c>
    </row>
    <row r="15">
      <c r="E15" s="1" t="n"/>
      <c r="F15" s="1" t="n"/>
    </row>
    <row r="16">
      <c r="A16" s="101" t="inlineStr"/>
      <c r="B16" s="97" t="n"/>
      <c r="C16" s="97" t="n"/>
      <c r="D16" s="97" t="n"/>
      <c r="E16" s="130" t="inlineStr">
        <is>
          <t>TOTAL</t>
        </is>
      </c>
      <c r="F16" s="103" t="n"/>
      <c r="G16" s="97" t="n"/>
      <c r="H16" s="131">
        <f>SUM(F2:F14)</f>
        <v/>
      </c>
      <c r="I16" s="97" t="n"/>
    </row>
    <row r="17">
      <c r="A17" s="97" t="n"/>
      <c r="B17" s="97" t="n"/>
      <c r="C17" s="97" t="n"/>
      <c r="D17" s="97" t="n"/>
      <c r="E17" s="132" t="inlineStr">
        <is>
          <t>heraf Hus</t>
        </is>
      </c>
      <c r="F17" s="103" t="n"/>
      <c r="G17" s="97" t="n"/>
      <c r="H17" s="133">
        <f>SUMIF(I2:I14,"Hus",F2:F14)</f>
        <v/>
      </c>
      <c r="I17" s="97" t="n"/>
    </row>
    <row r="18">
      <c r="A18" s="97" t="n"/>
      <c r="B18" s="97" t="n"/>
      <c r="C18" s="97" t="n"/>
      <c r="D18" s="97" t="n"/>
      <c r="E18" s="134" t="inlineStr">
        <is>
          <t>heraf Yard</t>
        </is>
      </c>
      <c r="F18" s="103" t="n"/>
      <c r="G18" s="97" t="n"/>
      <c r="H18" s="135">
        <f>SUMIF(I2:I14,"Yard",F2:F14)</f>
        <v/>
      </c>
      <c r="I18" s="97" t="n"/>
    </row>
    <row r="19">
      <c r="A19" s="97" t="n"/>
      <c r="B19" s="97" t="n"/>
      <c r="C19" s="97" t="n"/>
      <c r="D19" s="97" t="n"/>
      <c r="E19" s="136" t="inlineStr">
        <is>
          <t>heraf Fælles</t>
        </is>
      </c>
      <c r="F19" s="103" t="n"/>
      <c r="G19" s="97" t="n"/>
      <c r="H19" s="137">
        <f>SUMIF(I2:I14,"Fælles",F2:F14)</f>
        <v/>
      </c>
      <c r="I19" s="97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67" min="1" max="1"/>
    <col width="50" customWidth="1" style="67" min="2" max="2"/>
    <col width="8" customWidth="1" style="67" min="3" max="3"/>
    <col width="8" customWidth="1" style="67" min="4" max="4"/>
    <col width="16" customWidth="1" style="67" min="5" max="5"/>
    <col width="14" customWidth="1" style="67" min="6" max="6"/>
    <col width="24" customWidth="1" style="67" min="7" max="7"/>
    <col width="60" customWidth="1" style="67" min="8" max="8"/>
    <col width="10" customWidth="1" style="67" min="9" max="9"/>
  </cols>
  <sheetData>
    <row r="1" ht="22" customHeight="1" s="67">
      <c r="A1" s="99" t="inlineStr">
        <is>
          <t>Kategori</t>
        </is>
      </c>
      <c r="B1" s="99" t="inlineStr">
        <is>
          <t>Vare</t>
        </is>
      </c>
      <c r="C1" s="99" t="inlineStr">
        <is>
          <t>Antal</t>
        </is>
      </c>
      <c r="D1" s="99" t="inlineStr">
        <is>
          <t>Enhed</t>
        </is>
      </c>
      <c r="E1" s="99" t="inlineStr">
        <is>
          <t>Pris pr. enhed (DKK)</t>
        </is>
      </c>
      <c r="F1" s="99" t="inlineStr">
        <is>
          <t>I alt (DKK)</t>
        </is>
      </c>
      <c r="G1" s="99" t="inlineStr">
        <is>
          <t>Leverandør</t>
        </is>
      </c>
      <c r="H1" s="99" t="inlineStr">
        <is>
          <t>Noter</t>
        </is>
      </c>
      <c r="I1" s="99" t="inlineStr">
        <is>
          <t>Zone</t>
        </is>
      </c>
    </row>
    <row r="2">
      <c r="A2" s="86" t="inlineStr">
        <is>
          <t>Konstruktion</t>
        </is>
      </c>
      <c r="B2" s="97" t="inlineStr">
        <is>
          <t>Murpap (DPC)</t>
        </is>
      </c>
      <c r="C2" s="97" t="n">
        <v>1</v>
      </c>
      <c r="D2" s="102" t="inlineStr">
        <is>
          <t>stk</t>
        </is>
      </c>
      <c r="E2" s="103" t="n">
        <v>99</v>
      </c>
      <c r="F2" s="103">
        <f>C2*E2</f>
        <v/>
      </c>
      <c r="G2" s="104" t="inlineStr">
        <is>
          <t>jemogfix.dk</t>
        </is>
      </c>
      <c r="H2" s="105" t="inlineStr">
        <is>
          <t>11 cm × 20 m — sokkel-isolering, hele perimeter + tværvæg</t>
        </is>
      </c>
      <c r="I2" s="107" t="inlineStr">
        <is>
          <t>Fælles</t>
        </is>
      </c>
    </row>
    <row r="3">
      <c r="A3" s="138" t="inlineStr">
        <is>
          <t>Konstruktion</t>
        </is>
      </c>
      <c r="B3" s="97" t="inlineStr">
        <is>
          <t>Bundrem 45×95×3600 PT NTR-AB</t>
        </is>
      </c>
      <c r="C3" s="97" t="n">
        <v>2</v>
      </c>
      <c r="D3" s="102" t="inlineStr">
        <is>
          <t>stk</t>
        </is>
      </c>
      <c r="E3" s="103" t="n">
        <v>71.09999999999999</v>
      </c>
      <c r="F3" s="103">
        <f>C3*E3</f>
        <v/>
      </c>
      <c r="G3" s="104" t="inlineStr">
        <is>
          <t>jemogfix.dk</t>
        </is>
      </c>
      <c r="H3" s="105" t="inlineStr">
        <is>
          <t>V1 + V2 lange stykker — straddler hl ved splejs</t>
        </is>
      </c>
      <c r="I3" s="107" t="inlineStr">
        <is>
          <t>Fælles</t>
        </is>
      </c>
    </row>
    <row r="4">
      <c r="A4" s="138" t="inlineStr">
        <is>
          <t>Konstruktion</t>
        </is>
      </c>
      <c r="B4" s="97" t="inlineStr">
        <is>
          <t>Bundrem 45×95×2400 PT NTR-AB (hus)</t>
        </is>
      </c>
      <c r="C4" s="97" t="n">
        <v>2</v>
      </c>
      <c r="D4" s="102" t="inlineStr">
        <is>
          <t>stk</t>
        </is>
      </c>
      <c r="E4" s="103" t="n">
        <v>47.4</v>
      </c>
      <c r="F4" s="103">
        <f>C4*E4</f>
        <v/>
      </c>
      <c r="G4" s="104" t="inlineStr">
        <is>
          <t>jemogfix.dk</t>
        </is>
      </c>
      <c r="H4" s="105" t="inlineStr">
        <is>
          <t>V3 + V5 bundrem</t>
        </is>
      </c>
      <c r="I4" s="106" t="inlineStr">
        <is>
          <t>Hus</t>
        </is>
      </c>
    </row>
    <row r="5">
      <c r="A5" s="138" t="inlineStr">
        <is>
          <t>Konstruktion</t>
        </is>
      </c>
      <c r="B5" s="97" t="inlineStr">
        <is>
          <t>Bundrem 45×95×2400 PT NTR-AB (yard)</t>
        </is>
      </c>
      <c r="C5" s="97" t="n">
        <v>3</v>
      </c>
      <c r="D5" s="102" t="inlineStr">
        <is>
          <t>stk</t>
        </is>
      </c>
      <c r="E5" s="103" t="n">
        <v>47.4</v>
      </c>
      <c r="F5" s="103">
        <f>C5*E5</f>
        <v/>
      </c>
      <c r="G5" s="104" t="inlineStr">
        <is>
          <t>jemogfix.dk</t>
        </is>
      </c>
      <c r="H5" s="105" t="inlineStr">
        <is>
          <t>V1[2] + V2[2] + V4 bundrem</t>
        </is>
      </c>
      <c r="I5" s="122" t="inlineStr">
        <is>
          <t>Yard</t>
        </is>
      </c>
    </row>
    <row r="6">
      <c r="A6" s="138" t="inlineStr">
        <is>
          <t>Konstruktion</t>
        </is>
      </c>
      <c r="B6" s="97" t="inlineStr">
        <is>
          <t>Toprem 47×100×3600 C24 gran</t>
        </is>
      </c>
      <c r="C6" s="97" t="n">
        <v>2</v>
      </c>
      <c r="D6" s="102" t="inlineStr">
        <is>
          <t>stk</t>
        </is>
      </c>
      <c r="E6" s="103" t="n">
        <v>63.9</v>
      </c>
      <c r="F6" s="103">
        <f>C6*E6</f>
        <v/>
      </c>
      <c r="G6" s="104" t="inlineStr">
        <is>
          <t>jemogfix.dk</t>
        </is>
      </c>
      <c r="H6" s="105" t="inlineStr">
        <is>
          <t>V1 + V2 lange stykker — straddler hl</t>
        </is>
      </c>
      <c r="I6" s="107" t="inlineStr">
        <is>
          <t>Fælles</t>
        </is>
      </c>
    </row>
    <row r="7">
      <c r="A7" s="138" t="inlineStr">
        <is>
          <t>Konstruktion</t>
        </is>
      </c>
      <c r="B7" s="97" t="inlineStr">
        <is>
          <t>Toprem 47×100×3600 C24 gran (yard)</t>
        </is>
      </c>
      <c r="C7" s="97" t="n">
        <v>2</v>
      </c>
      <c r="D7" s="102" t="inlineStr">
        <is>
          <t>stk</t>
        </is>
      </c>
      <c r="E7" s="103" t="n">
        <v>63.9</v>
      </c>
      <c r="F7" s="103">
        <f>C7*E7</f>
        <v/>
      </c>
      <c r="G7" s="104" t="inlineStr">
        <is>
          <t>jemogfix.dk</t>
        </is>
      </c>
      <c r="H7" s="105" t="inlineStr">
        <is>
          <t>V1[2] + V2[2] yard-segment toprem</t>
        </is>
      </c>
      <c r="I7" s="122" t="inlineStr">
        <is>
          <t>Yard</t>
        </is>
      </c>
    </row>
    <row r="8">
      <c r="A8" s="138" t="inlineStr">
        <is>
          <t>Konstruktion</t>
        </is>
      </c>
      <c r="B8" s="97" t="inlineStr">
        <is>
          <t>Reglar 47×100×2400 C24 gran (hus)</t>
        </is>
      </c>
      <c r="C8" s="97" t="n">
        <v>22</v>
      </c>
      <c r="D8" s="102" t="inlineStr">
        <is>
          <t>stk</t>
        </is>
      </c>
      <c r="E8" s="103" t="n">
        <v>42.6</v>
      </c>
      <c r="F8" s="103">
        <f>C8*E8</f>
        <v/>
      </c>
      <c r="G8" s="104" t="inlineStr">
        <is>
          <t>jemogfix.dk</t>
        </is>
      </c>
      <c r="H8" s="105" t="inlineStr">
        <is>
          <t>Studs V1[0..hl]+V2[0..hl]+V3+V5 + skrå toprem V3+V5 + headers/cripples</t>
        </is>
      </c>
      <c r="I8" s="106" t="inlineStr">
        <is>
          <t>Hus</t>
        </is>
      </c>
    </row>
    <row r="9">
      <c r="A9" s="138" t="inlineStr">
        <is>
          <t>Konstruktion</t>
        </is>
      </c>
      <c r="B9" s="97" t="inlineStr">
        <is>
          <t>Reglar 47×100×2400 C24 gran (yard)</t>
        </is>
      </c>
      <c r="C9" s="97" t="n">
        <v>20</v>
      </c>
      <c r="D9" s="102" t="inlineStr">
        <is>
          <t>stk</t>
        </is>
      </c>
      <c r="E9" s="103" t="n">
        <v>42.6</v>
      </c>
      <c r="F9" s="103">
        <f>C9*E9</f>
        <v/>
      </c>
      <c r="G9" s="104" t="inlineStr">
        <is>
          <t>jemogfix.dk</t>
        </is>
      </c>
      <c r="H9" s="105" t="inlineStr">
        <is>
          <t>Studs V1[hl..ll]+V2[hl..ll]+V4 + skrå toprem V4 + yard-dør jamber</t>
        </is>
      </c>
      <c r="I9" s="122" t="inlineStr">
        <is>
          <t>Yard</t>
        </is>
      </c>
    </row>
    <row r="10">
      <c r="E10" s="1" t="n"/>
      <c r="F10" s="1" t="n"/>
    </row>
    <row r="11">
      <c r="A11" s="111" t="inlineStr"/>
      <c r="B11" s="97" t="n"/>
      <c r="C11" s="97" t="n"/>
      <c r="D11" s="97" t="n"/>
      <c r="E11" s="130" t="inlineStr">
        <is>
          <t>TOTAL</t>
        </is>
      </c>
      <c r="F11" s="103" t="n"/>
      <c r="G11" s="97" t="n"/>
      <c r="H11" s="131">
        <f>SUM(F2:F9)</f>
        <v/>
      </c>
      <c r="I11" s="97" t="n"/>
    </row>
    <row r="12">
      <c r="A12" s="97" t="n"/>
      <c r="B12" s="97" t="n"/>
      <c r="C12" s="97" t="n"/>
      <c r="D12" s="97" t="n"/>
      <c r="E12" s="132" t="inlineStr">
        <is>
          <t>heraf Hus</t>
        </is>
      </c>
      <c r="F12" s="103" t="n"/>
      <c r="G12" s="97" t="n"/>
      <c r="H12" s="133">
        <f>SUMIF(I2:I9,"Hus",F2:F9)</f>
        <v/>
      </c>
      <c r="I12" s="97" t="n"/>
    </row>
    <row r="13">
      <c r="A13" s="97" t="n"/>
      <c r="B13" s="97" t="n"/>
      <c r="C13" s="97" t="n"/>
      <c r="D13" s="97" t="n"/>
      <c r="E13" s="134" t="inlineStr">
        <is>
          <t>heraf Yard</t>
        </is>
      </c>
      <c r="F13" s="103" t="n"/>
      <c r="G13" s="97" t="n"/>
      <c r="H13" s="135">
        <f>SUMIF(I2:I9,"Yard",F2:F9)</f>
        <v/>
      </c>
      <c r="I13" s="97" t="n"/>
    </row>
    <row r="14">
      <c r="A14" s="97" t="n"/>
      <c r="B14" s="97" t="n"/>
      <c r="C14" s="97" t="n"/>
      <c r="D14" s="97" t="n"/>
      <c r="E14" s="136" t="inlineStr">
        <is>
          <t>heraf Fælles</t>
        </is>
      </c>
      <c r="F14" s="103" t="n"/>
      <c r="G14" s="97" t="n"/>
      <c r="H14" s="137">
        <f>SUMIF(I2:I9,"Fælles",F2:F9)</f>
        <v/>
      </c>
      <c r="I14" s="97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67" min="1" max="1"/>
    <col width="50" customWidth="1" style="67" min="2" max="2"/>
    <col width="8" customWidth="1" style="67" min="3" max="3"/>
    <col width="8" customWidth="1" style="67" min="4" max="4"/>
    <col width="16" customWidth="1" style="67" min="5" max="5"/>
    <col width="14" customWidth="1" style="67" min="6" max="6"/>
    <col width="24" customWidth="1" style="67" min="7" max="7"/>
    <col width="60" customWidth="1" style="67" min="8" max="8"/>
    <col width="10" customWidth="1" style="67" min="9" max="9"/>
  </cols>
  <sheetData>
    <row r="1" ht="22" customHeight="1" s="67">
      <c r="A1" s="99" t="inlineStr">
        <is>
          <t>Kategori</t>
        </is>
      </c>
      <c r="B1" s="99" t="inlineStr">
        <is>
          <t>Vare</t>
        </is>
      </c>
      <c r="C1" s="99" t="inlineStr">
        <is>
          <t>Antal</t>
        </is>
      </c>
      <c r="D1" s="99" t="inlineStr">
        <is>
          <t>Enhed</t>
        </is>
      </c>
      <c r="E1" s="99" t="inlineStr">
        <is>
          <t>Pris pr. enhed (DKK)</t>
        </is>
      </c>
      <c r="F1" s="99" t="inlineStr">
        <is>
          <t>I alt (DKK)</t>
        </is>
      </c>
      <c r="G1" s="99" t="inlineStr">
        <is>
          <t>Leverandør</t>
        </is>
      </c>
      <c r="H1" s="99" t="inlineStr">
        <is>
          <t>Noter</t>
        </is>
      </c>
      <c r="I1" s="99" t="inlineStr">
        <is>
          <t>Zone</t>
        </is>
      </c>
    </row>
    <row r="2">
      <c r="A2" s="139" t="inlineStr">
        <is>
          <t>Træværk</t>
        </is>
      </c>
      <c r="B2" s="97" t="inlineStr">
        <is>
          <t>Spær 47×100×3000 C24 gran (hus)</t>
        </is>
      </c>
      <c r="C2" s="97" t="n">
        <v>4</v>
      </c>
      <c r="D2" s="102" t="inlineStr">
        <is>
          <t>stk</t>
        </is>
      </c>
      <c r="E2" s="103" t="n">
        <v>53.25</v>
      </c>
      <c r="F2" s="103">
        <f>C2*E2</f>
        <v/>
      </c>
      <c r="G2" s="104" t="inlineStr">
        <is>
          <t>jemogfix.dk</t>
        </is>
      </c>
      <c r="H2" s="105" t="inlineStr">
        <is>
          <t>X=-220, 0, 600, 1200 (incl. vindskede V)</t>
        </is>
      </c>
      <c r="I2" s="106" t="inlineStr">
        <is>
          <t>Hus</t>
        </is>
      </c>
    </row>
    <row r="3">
      <c r="A3" s="140" t="inlineStr">
        <is>
          <t>Træværk</t>
        </is>
      </c>
      <c r="B3" s="97" t="inlineStr">
        <is>
          <t>Spær 47×100×3000 C24 gran (yard)</t>
        </is>
      </c>
      <c r="C3" s="97" t="n">
        <v>9</v>
      </c>
      <c r="D3" s="102" t="inlineStr">
        <is>
          <t>stk</t>
        </is>
      </c>
      <c r="E3" s="103" t="n">
        <v>53.25</v>
      </c>
      <c r="F3" s="103">
        <f>C3*E3</f>
        <v/>
      </c>
      <c r="G3" s="104" t="inlineStr">
        <is>
          <t>jemogfix.dk</t>
        </is>
      </c>
      <c r="H3" s="105" t="inlineStr">
        <is>
          <t>X=1800..5400 + V4 gable + vindskede H</t>
        </is>
      </c>
      <c r="I3" s="122" t="inlineStr">
        <is>
          <t>Yard</t>
        </is>
      </c>
    </row>
    <row r="4">
      <c r="A4" s="140" t="inlineStr">
        <is>
          <t>Træværk</t>
        </is>
      </c>
      <c r="B4" s="97" t="inlineStr">
        <is>
          <t>OSB-3 TG4 18 mm 2397×600 mm (hus)</t>
        </is>
      </c>
      <c r="C4" s="97" t="n">
        <v>5</v>
      </c>
      <c r="D4" s="102" t="inlineStr">
        <is>
          <t>stk</t>
        </is>
      </c>
      <c r="E4" s="103" t="n">
        <v>129</v>
      </c>
      <c r="F4" s="103">
        <f>C4*E4</f>
        <v/>
      </c>
      <c r="G4" s="104" t="inlineStr">
        <is>
          <t>jemogfix.dk</t>
        </is>
      </c>
      <c r="H4" s="105" t="inlineStr">
        <is>
          <t>Plade 1 i hver række — dækker [-220..2177]</t>
        </is>
      </c>
      <c r="I4" s="106" t="inlineStr">
        <is>
          <t>Hus</t>
        </is>
      </c>
    </row>
    <row r="5">
      <c r="A5" s="140" t="inlineStr">
        <is>
          <t>Træværk</t>
        </is>
      </c>
      <c r="B5" s="97" t="inlineStr">
        <is>
          <t>OSB-3 TG4 18 mm 2397×600 mm (yard)</t>
        </is>
      </c>
      <c r="C5" s="97" t="n">
        <v>10</v>
      </c>
      <c r="D5" s="102" t="inlineStr">
        <is>
          <t>stk</t>
        </is>
      </c>
      <c r="E5" s="103" t="n">
        <v>129</v>
      </c>
      <c r="F5" s="103">
        <f>C5*E5</f>
        <v/>
      </c>
      <c r="G5" s="104" t="inlineStr">
        <is>
          <t>jemogfix.dk</t>
        </is>
      </c>
      <c r="H5" s="105" t="inlineStr">
        <is>
          <t>Plade 2+3 i hver række — dækker [2177..6220]</t>
        </is>
      </c>
      <c r="I5" s="122" t="inlineStr">
        <is>
          <t>Yard</t>
        </is>
      </c>
    </row>
    <row r="6">
      <c r="A6" s="140" t="inlineStr">
        <is>
          <t>Træværk</t>
        </is>
      </c>
      <c r="B6" s="97" t="inlineStr">
        <is>
          <t>Sternbræt imp. 21×120×3600 gran (hus)</t>
        </is>
      </c>
      <c r="C6" s="97" t="n">
        <v>2</v>
      </c>
      <c r="D6" s="102" t="inlineStr">
        <is>
          <t>stk</t>
        </is>
      </c>
      <c r="E6" s="103" t="n">
        <v>92.7</v>
      </c>
      <c r="F6" s="103">
        <f>C6*E6</f>
        <v/>
      </c>
      <c r="G6" s="104" t="inlineStr">
        <is>
          <t>jemogfix.dk</t>
        </is>
      </c>
      <c r="H6" s="105" t="inlineStr">
        <is>
          <t>Venstre side + del af front/bag (~6,4 m)</t>
        </is>
      </c>
      <c r="I6" s="106" t="inlineStr">
        <is>
          <t>Hus</t>
        </is>
      </c>
    </row>
    <row r="7">
      <c r="A7" s="140" t="inlineStr">
        <is>
          <t>Træværk</t>
        </is>
      </c>
      <c r="B7" s="97" t="inlineStr">
        <is>
          <t>Sternbræt imp. 21×120×3600 gran (yard)</t>
        </is>
      </c>
      <c r="C7" s="97" t="n">
        <v>4</v>
      </c>
      <c r="D7" s="102" t="inlineStr">
        <is>
          <t>stk</t>
        </is>
      </c>
      <c r="E7" s="103" t="n">
        <v>92.7</v>
      </c>
      <c r="F7" s="103">
        <f>C7*E7</f>
        <v/>
      </c>
      <c r="G7" s="104" t="inlineStr">
        <is>
          <t>jemogfix.dk</t>
        </is>
      </c>
      <c r="H7" s="105" t="inlineStr">
        <is>
          <t>Højre side + resten af front/bag (~12,4 m)</t>
        </is>
      </c>
      <c r="I7" s="122" t="inlineStr">
        <is>
          <t>Yard</t>
        </is>
      </c>
    </row>
    <row r="8">
      <c r="E8" s="1" t="n"/>
      <c r="F8" s="1" t="n"/>
    </row>
    <row r="9">
      <c r="A9" s="139" t="inlineStr">
        <is>
          <t>Tagdækning</t>
        </is>
      </c>
      <c r="B9" s="97" t="inlineStr">
        <is>
          <t>Phoenix Selvbyggerpap 1×5 m (hus)</t>
        </is>
      </c>
      <c r="C9" s="97" t="n">
        <v>2</v>
      </c>
      <c r="D9" s="102" t="inlineStr">
        <is>
          <t>stk</t>
        </is>
      </c>
      <c r="E9" s="103" t="n">
        <v>579</v>
      </c>
      <c r="F9" s="103">
        <f>C9*E9</f>
        <v/>
      </c>
      <c r="G9" s="104" t="inlineStr">
        <is>
          <t>jemogfix.dk</t>
        </is>
      </c>
      <c r="H9" s="105" t="inlineStr">
        <is>
          <t>~5 m² hus + spild</t>
        </is>
      </c>
      <c r="I9" s="106" t="inlineStr">
        <is>
          <t>Hus</t>
        </is>
      </c>
    </row>
    <row r="10">
      <c r="A10" s="140" t="inlineStr">
        <is>
          <t>Tagdækning</t>
        </is>
      </c>
      <c r="B10" s="97" t="inlineStr">
        <is>
          <t>Phoenix Selvbyggerpap 1×5 m (yard)</t>
        </is>
      </c>
      <c r="C10" s="97" t="n">
        <v>4</v>
      </c>
      <c r="D10" s="102" t="inlineStr">
        <is>
          <t>stk</t>
        </is>
      </c>
      <c r="E10" s="103" t="n">
        <v>579</v>
      </c>
      <c r="F10" s="103">
        <f>C10*E10</f>
        <v/>
      </c>
      <c r="G10" s="104" t="inlineStr">
        <is>
          <t>jemogfix.dk</t>
        </is>
      </c>
      <c r="H10" s="105" t="inlineStr">
        <is>
          <t>~14 m² yard + spild</t>
        </is>
      </c>
      <c r="I10" s="122" t="inlineStr">
        <is>
          <t>Yard</t>
        </is>
      </c>
    </row>
    <row r="11">
      <c r="A11" s="140" t="inlineStr">
        <is>
          <t>Tagdækning</t>
        </is>
      </c>
      <c r="B11" s="97" t="inlineStr">
        <is>
          <t>Phoenix klæbeasfalt 310 ml (hus)</t>
        </is>
      </c>
      <c r="C11" s="97" t="n">
        <v>1</v>
      </c>
      <c r="D11" s="102" t="inlineStr">
        <is>
          <t>stk</t>
        </is>
      </c>
      <c r="E11" s="103" t="n">
        <v>69.95</v>
      </c>
      <c r="F11" s="103">
        <f>C11*E11</f>
        <v/>
      </c>
      <c r="G11" s="104" t="inlineStr">
        <is>
          <t>jemogfix.dk</t>
        </is>
      </c>
      <c r="H11" s="105" t="inlineStr"/>
      <c r="I11" s="106" t="inlineStr">
        <is>
          <t>Hus</t>
        </is>
      </c>
    </row>
    <row r="12">
      <c r="A12" s="140" t="inlineStr">
        <is>
          <t>Tagdækning</t>
        </is>
      </c>
      <c r="B12" s="97" t="inlineStr">
        <is>
          <t>Phoenix klæbeasfalt 310 ml (yard)</t>
        </is>
      </c>
      <c r="C12" s="97" t="n">
        <v>2</v>
      </c>
      <c r="D12" s="102" t="inlineStr">
        <is>
          <t>stk</t>
        </is>
      </c>
      <c r="E12" s="103" t="n">
        <v>69.95</v>
      </c>
      <c r="F12" s="103">
        <f>C12*E12</f>
        <v/>
      </c>
      <c r="G12" s="104" t="inlineStr">
        <is>
          <t>jemogfix.dk</t>
        </is>
      </c>
      <c r="H12" s="105" t="inlineStr"/>
      <c r="I12" s="122" t="inlineStr">
        <is>
          <t>Yard</t>
        </is>
      </c>
    </row>
    <row r="13">
      <c r="A13" s="140" t="inlineStr">
        <is>
          <t>Tagdækning</t>
        </is>
      </c>
      <c r="B13" s="97" t="inlineStr">
        <is>
          <t>Phoenix murpap til tagfod 15 cm × 20 m</t>
        </is>
      </c>
      <c r="C13" s="97" t="n">
        <v>1</v>
      </c>
      <c r="D13" s="102" t="inlineStr">
        <is>
          <t>stk</t>
        </is>
      </c>
      <c r="E13" s="103" t="n">
        <v>149</v>
      </c>
      <c r="F13" s="103">
        <f>C13*E13</f>
        <v/>
      </c>
      <c r="G13" s="104" t="inlineStr">
        <is>
          <t>jemogfix.dk</t>
        </is>
      </c>
      <c r="H13" s="105" t="inlineStr">
        <is>
          <t>Én rulle dækker begge zoner</t>
        </is>
      </c>
      <c r="I13" s="107" t="inlineStr">
        <is>
          <t>Fælles</t>
        </is>
      </c>
    </row>
    <row r="14">
      <c r="E14" s="1" t="n"/>
      <c r="F14" s="1" t="n"/>
    </row>
    <row r="15">
      <c r="A15" s="139" t="inlineStr">
        <is>
          <t>Aluinddækning</t>
        </is>
      </c>
      <c r="B15" s="97" t="inlineStr">
        <is>
          <t>Alu tagfod sort 55×80×1000 mm (hus)</t>
        </is>
      </c>
      <c r="C15" s="97" t="n">
        <v>2</v>
      </c>
      <c r="D15" s="102" t="inlineStr">
        <is>
          <t>stk</t>
        </is>
      </c>
      <c r="E15" s="103" t="n">
        <v>39.75</v>
      </c>
      <c r="F15" s="103">
        <f>C15*E15</f>
        <v/>
      </c>
      <c r="G15" s="104" t="inlineStr">
        <is>
          <t>jemogfix.dk</t>
        </is>
      </c>
      <c r="H15" s="105" t="inlineStr">
        <is>
          <t>Front+bag hus-segment + ende-trim</t>
        </is>
      </c>
      <c r="I15" s="106" t="inlineStr">
        <is>
          <t>Hus</t>
        </is>
      </c>
    </row>
    <row r="16">
      <c r="A16" s="140" t="inlineStr">
        <is>
          <t>Aluinddækning</t>
        </is>
      </c>
      <c r="B16" s="97" t="inlineStr">
        <is>
          <t>Alu tagfod sort 55×80×1000 mm (yard)</t>
        </is>
      </c>
      <c r="C16" s="97" t="n">
        <v>5</v>
      </c>
      <c r="D16" s="102" t="inlineStr">
        <is>
          <t>stk</t>
        </is>
      </c>
      <c r="E16" s="103" t="n">
        <v>39.75</v>
      </c>
      <c r="F16" s="103">
        <f>C16*E16</f>
        <v/>
      </c>
      <c r="G16" s="104" t="inlineStr">
        <is>
          <t>jemogfix.dk</t>
        </is>
      </c>
      <c r="H16" s="105" t="inlineStr">
        <is>
          <t>Front+bag yard-segment + ende-trim</t>
        </is>
      </c>
      <c r="I16" s="122" t="inlineStr">
        <is>
          <t>Yard</t>
        </is>
      </c>
    </row>
    <row r="17">
      <c r="A17" s="140" t="inlineStr">
        <is>
          <t>Aluinddækning</t>
        </is>
      </c>
      <c r="B17" s="97" t="inlineStr">
        <is>
          <t>Alu sternkapsel sort 35×25×1000 mm (hus)</t>
        </is>
      </c>
      <c r="C17" s="97" t="n">
        <v>3</v>
      </c>
      <c r="D17" s="102" t="inlineStr">
        <is>
          <t>stk</t>
        </is>
      </c>
      <c r="E17" s="103" t="n">
        <v>59.95</v>
      </c>
      <c r="F17" s="103">
        <f>C17*E17</f>
        <v/>
      </c>
      <c r="G17" s="104" t="inlineStr">
        <is>
          <t>jemogfix.dk</t>
        </is>
      </c>
      <c r="H17" s="105" t="inlineStr">
        <is>
          <t>Venstre side + front+bag hus</t>
        </is>
      </c>
      <c r="I17" s="106" t="inlineStr">
        <is>
          <t>Hus</t>
        </is>
      </c>
    </row>
    <row r="18">
      <c r="A18" s="140" t="inlineStr">
        <is>
          <t>Aluinddækning</t>
        </is>
      </c>
      <c r="B18" s="97" t="inlineStr">
        <is>
          <t>Alu sternkapsel sort 35×25×1000 mm (yard)</t>
        </is>
      </c>
      <c r="C18" s="97" t="n">
        <v>10</v>
      </c>
      <c r="D18" s="102" t="inlineStr">
        <is>
          <t>stk</t>
        </is>
      </c>
      <c r="E18" s="103" t="n">
        <v>59.95</v>
      </c>
      <c r="F18" s="103">
        <f>C18*E18</f>
        <v/>
      </c>
      <c r="G18" s="104" t="inlineStr">
        <is>
          <t>jemogfix.dk</t>
        </is>
      </c>
      <c r="H18" s="105" t="inlineStr">
        <is>
          <t>Højre side + front+bag yard</t>
        </is>
      </c>
      <c r="I18" s="122" t="inlineStr">
        <is>
          <t>Yard</t>
        </is>
      </c>
    </row>
    <row r="19">
      <c r="E19" s="1" t="n"/>
      <c r="F19" s="1" t="n"/>
    </row>
    <row r="20">
      <c r="A20" s="139" t="inlineStr">
        <is>
          <t>Beslag</t>
        </is>
      </c>
      <c r="B20" s="97" t="inlineStr">
        <is>
          <t>Paslode vinkelbeslag 90×90×40 (20-pak) (hus)</t>
        </is>
      </c>
      <c r="C20" s="97" t="n">
        <v>1</v>
      </c>
      <c r="D20" s="102" t="inlineStr">
        <is>
          <t>pak</t>
        </is>
      </c>
      <c r="E20" s="103" t="n"/>
      <c r="F20" s="103" t="n"/>
      <c r="G20" s="104" t="inlineStr">
        <is>
          <t>wood-online.dk</t>
        </is>
      </c>
      <c r="H20" s="105" t="inlineStr">
        <is>
          <t>TBD pris — ~14 stk på hus-spær</t>
        </is>
      </c>
      <c r="I20" s="106" t="inlineStr">
        <is>
          <t>Hus</t>
        </is>
      </c>
    </row>
    <row r="21">
      <c r="A21" s="140" t="inlineStr">
        <is>
          <t>Beslag</t>
        </is>
      </c>
      <c r="B21" s="97" t="inlineStr">
        <is>
          <t>Paslode vinkelbeslag 90×90×40 (20-pak) (yard)</t>
        </is>
      </c>
      <c r="C21" s="97" t="n">
        <v>2</v>
      </c>
      <c r="D21" s="102" t="inlineStr">
        <is>
          <t>pak</t>
        </is>
      </c>
      <c r="E21" s="103" t="n"/>
      <c r="F21" s="103" t="n"/>
      <c r="G21" s="104" t="inlineStr">
        <is>
          <t>wood-online.dk</t>
        </is>
      </c>
      <c r="H21" s="105" t="inlineStr">
        <is>
          <t>TBD pris — ~34 stk på yard-spær</t>
        </is>
      </c>
      <c r="I21" s="122" t="inlineStr">
        <is>
          <t>Yard</t>
        </is>
      </c>
    </row>
    <row r="22">
      <c r="A22" s="140" t="inlineStr">
        <is>
          <t>Beslag</t>
        </is>
      </c>
      <c r="B22" s="97" t="inlineStr">
        <is>
          <t>OSB/spær-skruer 5×80 mm</t>
        </is>
      </c>
      <c r="C22" s="97" t="n">
        <v>250</v>
      </c>
      <c r="D22" s="102" t="inlineStr">
        <is>
          <t>stk</t>
        </is>
      </c>
      <c r="E22" s="103" t="n"/>
      <c r="F22" s="103" t="n"/>
      <c r="G22" s="97" t="inlineStr">
        <is>
          <t>jemogfix.dk</t>
        </is>
      </c>
      <c r="H22" s="105" t="inlineStr">
        <is>
          <t>TBD pris — én pakke dækker begge</t>
        </is>
      </c>
      <c r="I22" s="107" t="inlineStr">
        <is>
          <t>Fælles</t>
        </is>
      </c>
    </row>
    <row r="23">
      <c r="A23" s="140" t="inlineStr">
        <is>
          <t>Beslag</t>
        </is>
      </c>
      <c r="B23" s="97" t="inlineStr">
        <is>
          <t>Rustfri tagskruer m. EPDM-pakning</t>
        </is>
      </c>
      <c r="C23" s="97" t="n"/>
      <c r="D23" s="102" t="inlineStr">
        <is>
          <t>stk</t>
        </is>
      </c>
      <c r="E23" s="103" t="n"/>
      <c r="F23" s="103" t="n"/>
      <c r="G23" s="97" t="inlineStr">
        <is>
          <t>jemogfix.dk</t>
        </is>
      </c>
      <c r="H23" s="105" t="inlineStr">
        <is>
          <t>TBD antal + pris</t>
        </is>
      </c>
      <c r="I23" s="107" t="inlineStr">
        <is>
          <t>Fælles</t>
        </is>
      </c>
    </row>
    <row r="24">
      <c r="A24" s="140" t="inlineStr">
        <is>
          <t>Beslag</t>
        </is>
      </c>
      <c r="B24" s="97" t="inlineStr">
        <is>
          <t>Galvaniseret tagpapsøm 2,6×25 mm (100-pak)</t>
        </is>
      </c>
      <c r="C24" s="97" t="n">
        <v>1</v>
      </c>
      <c r="D24" s="102" t="inlineStr">
        <is>
          <t>pk.</t>
        </is>
      </c>
      <c r="E24" s="103" t="n">
        <v>69.95</v>
      </c>
      <c r="F24" s="103">
        <f>C24*E24</f>
        <v/>
      </c>
      <c r="G24" s="104" t="inlineStr">
        <is>
          <t>jemogfix.dk</t>
        </is>
      </c>
      <c r="H24" s="105" t="inlineStr">
        <is>
          <t>Alusøm — én pakke dækker begge</t>
        </is>
      </c>
      <c r="I24" s="107" t="inlineStr">
        <is>
          <t>Fælles</t>
        </is>
      </c>
    </row>
    <row r="25">
      <c r="E25" s="1" t="n"/>
      <c r="F25" s="1" t="n"/>
    </row>
    <row r="26">
      <c r="A26" s="141" t="inlineStr"/>
      <c r="B26" s="97" t="n"/>
      <c r="C26" s="97" t="n"/>
      <c r="D26" s="97" t="n"/>
      <c r="E26" s="130" t="inlineStr">
        <is>
          <t>TOTAL</t>
        </is>
      </c>
      <c r="F26" s="103" t="n"/>
      <c r="G26" s="97" t="n"/>
      <c r="H26" s="131">
        <f>SUM(F2:F24)</f>
        <v/>
      </c>
      <c r="I26" s="97" t="n"/>
    </row>
    <row r="27">
      <c r="A27" s="97" t="n"/>
      <c r="B27" s="97" t="n"/>
      <c r="C27" s="97" t="n"/>
      <c r="D27" s="97" t="n"/>
      <c r="E27" s="132" t="inlineStr">
        <is>
          <t>heraf Hus</t>
        </is>
      </c>
      <c r="F27" s="103" t="n"/>
      <c r="G27" s="97" t="n"/>
      <c r="H27" s="133">
        <f>SUMIF(I2:I24,"Hus",F2:F24)</f>
        <v/>
      </c>
      <c r="I27" s="97" t="n"/>
    </row>
    <row r="28">
      <c r="A28" s="97" t="n"/>
      <c r="B28" s="97" t="n"/>
      <c r="C28" s="97" t="n"/>
      <c r="D28" s="97" t="n"/>
      <c r="E28" s="134" t="inlineStr">
        <is>
          <t>heraf Yard</t>
        </is>
      </c>
      <c r="F28" s="103" t="n"/>
      <c r="G28" s="97" t="n"/>
      <c r="H28" s="135">
        <f>SUMIF(I2:I24,"Yard",F2:F24)</f>
        <v/>
      </c>
      <c r="I28" s="97" t="n"/>
    </row>
    <row r="29">
      <c r="A29" s="97" t="n"/>
      <c r="B29" s="97" t="n"/>
      <c r="C29" s="97" t="n"/>
      <c r="D29" s="97" t="n"/>
      <c r="E29" s="136" t="inlineStr">
        <is>
          <t>heraf Fælles</t>
        </is>
      </c>
      <c r="F29" s="103" t="n"/>
      <c r="G29" s="97" t="n"/>
      <c r="H29" s="137">
        <f>SUMIF(I2:I24,"Fælles",F2:F24)</f>
        <v/>
      </c>
      <c r="I29" s="97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3" r:id="rId11"/>
    <hyperlink xmlns:r="http://schemas.openxmlformats.org/officeDocument/2006/relationships" ref="G15" r:id="rId12"/>
    <hyperlink xmlns:r="http://schemas.openxmlformats.org/officeDocument/2006/relationships" ref="G16" r:id="rId13"/>
    <hyperlink xmlns:r="http://schemas.openxmlformats.org/officeDocument/2006/relationships" ref="G17" r:id="rId14"/>
    <hyperlink xmlns:r="http://schemas.openxmlformats.org/officeDocument/2006/relationships" ref="G18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4" r:id="rId1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67" min="1" max="1"/>
    <col width="50" customWidth="1" style="67" min="2" max="2"/>
    <col width="8" customWidth="1" style="67" min="3" max="3"/>
    <col width="8" customWidth="1" style="67" min="4" max="4"/>
    <col width="16" customWidth="1" style="67" min="5" max="5"/>
    <col width="14" customWidth="1" style="67" min="6" max="6"/>
    <col width="24" customWidth="1" style="67" min="7" max="7"/>
    <col width="60" customWidth="1" style="67" min="8" max="8"/>
    <col width="10" customWidth="1" style="67" min="9" max="9"/>
  </cols>
  <sheetData>
    <row r="1" ht="22" customHeight="1" s="67">
      <c r="A1" s="99" t="inlineStr">
        <is>
          <t>Kategori</t>
        </is>
      </c>
      <c r="B1" s="99" t="inlineStr">
        <is>
          <t>Vare</t>
        </is>
      </c>
      <c r="C1" s="99" t="inlineStr">
        <is>
          <t>Antal</t>
        </is>
      </c>
      <c r="D1" s="99" t="inlineStr">
        <is>
          <t>Enhed</t>
        </is>
      </c>
      <c r="E1" s="99" t="inlineStr">
        <is>
          <t>Pris pr. enhed (DKK)</t>
        </is>
      </c>
      <c r="F1" s="99" t="inlineStr">
        <is>
          <t>I alt (DKK)</t>
        </is>
      </c>
      <c r="G1" s="99" t="inlineStr">
        <is>
          <t>Leverandør</t>
        </is>
      </c>
      <c r="H1" s="99" t="inlineStr">
        <is>
          <t>Noter</t>
        </is>
      </c>
      <c r="I1" s="99" t="inlineStr">
        <is>
          <t>Zone</t>
        </is>
      </c>
    </row>
    <row r="2">
      <c r="A2" s="115" t="inlineStr">
        <is>
          <t>Træværk</t>
        </is>
      </c>
      <c r="B2" s="97" t="inlineStr">
        <is>
          <t>Spær 47×100×3000 C24 gran (hus)</t>
        </is>
      </c>
      <c r="C2" s="97" t="n">
        <v>4</v>
      </c>
      <c r="D2" s="102" t="inlineStr">
        <is>
          <t>stk</t>
        </is>
      </c>
      <c r="E2" s="103" t="n">
        <v>85</v>
      </c>
      <c r="F2" s="103">
        <f>C2*E2</f>
        <v/>
      </c>
      <c r="G2" s="104" t="inlineStr">
        <is>
          <t>Stark</t>
        </is>
      </c>
      <c r="H2" s="105" t="inlineStr">
        <is>
          <t>est. — X&lt;=1200 (incl. vindskede V)</t>
        </is>
      </c>
      <c r="I2" s="106" t="inlineStr">
        <is>
          <t>Hus</t>
        </is>
      </c>
    </row>
    <row r="3">
      <c r="A3" s="142" t="inlineStr">
        <is>
          <t>Træværk</t>
        </is>
      </c>
      <c r="B3" s="97" t="inlineStr">
        <is>
          <t>Spær 47×100×3000 C24 gran (yard)</t>
        </is>
      </c>
      <c r="C3" s="97" t="n">
        <v>9</v>
      </c>
      <c r="D3" s="102" t="inlineStr">
        <is>
          <t>stk</t>
        </is>
      </c>
      <c r="E3" s="103" t="n">
        <v>85</v>
      </c>
      <c r="F3" s="103">
        <f>C3*E3</f>
        <v/>
      </c>
      <c r="G3" s="104" t="inlineStr">
        <is>
          <t>Stark</t>
        </is>
      </c>
      <c r="H3" s="105" t="inlineStr">
        <is>
          <t>est. — X&gt;=1800</t>
        </is>
      </c>
      <c r="I3" s="122" t="inlineStr">
        <is>
          <t>Yard</t>
        </is>
      </c>
    </row>
    <row r="4">
      <c r="A4" s="142" t="inlineStr">
        <is>
          <t>Træværk</t>
        </is>
      </c>
      <c r="B4" s="97" t="inlineStr">
        <is>
          <t>C18 taglægte 38×73×4200 mm (hus)</t>
        </is>
      </c>
      <c r="C4" s="97" t="n">
        <v>6</v>
      </c>
      <c r="D4" s="102" t="inlineStr">
        <is>
          <t>stk</t>
        </is>
      </c>
      <c r="E4" s="103" t="n">
        <v>52.5</v>
      </c>
      <c r="F4" s="103">
        <f>C4*E4</f>
        <v/>
      </c>
      <c r="G4" s="104" t="inlineStr">
        <is>
          <t>10-4.dk</t>
        </is>
      </c>
      <c r="H4" s="105" t="inlineStr">
        <is>
          <t>6 batten-rækker × 1 stk hus-segment</t>
        </is>
      </c>
      <c r="I4" s="106" t="inlineStr">
        <is>
          <t>Hus</t>
        </is>
      </c>
    </row>
    <row r="5">
      <c r="A5" s="142" t="inlineStr">
        <is>
          <t>Træværk</t>
        </is>
      </c>
      <c r="B5" s="97" t="inlineStr">
        <is>
          <t>C18 taglægte 38×73×4200 mm (yard)</t>
        </is>
      </c>
      <c r="C5" s="97" t="n">
        <v>12</v>
      </c>
      <c r="D5" s="102" t="inlineStr">
        <is>
          <t>stk</t>
        </is>
      </c>
      <c r="E5" s="103" t="n">
        <v>52.5</v>
      </c>
      <c r="F5" s="103">
        <f>C5*E5</f>
        <v/>
      </c>
      <c r="G5" s="104" t="inlineStr">
        <is>
          <t>10-4.dk</t>
        </is>
      </c>
      <c r="H5" s="105" t="inlineStr">
        <is>
          <t>6 batten-rækker × 2 stk yard-segment</t>
        </is>
      </c>
      <c r="I5" s="122" t="inlineStr">
        <is>
          <t>Yard</t>
        </is>
      </c>
    </row>
    <row r="6">
      <c r="A6" s="142" t="inlineStr">
        <is>
          <t>Træværk</t>
        </is>
      </c>
      <c r="B6" s="97" t="inlineStr">
        <is>
          <t>Imp. sternbræt 25×125×3600 gran (hus)</t>
        </is>
      </c>
      <c r="C6" s="97" t="n">
        <v>2</v>
      </c>
      <c r="D6" s="102" t="inlineStr">
        <is>
          <t>stk</t>
        </is>
      </c>
      <c r="E6" s="103" t="n">
        <v>82.59999999999999</v>
      </c>
      <c r="F6" s="103">
        <f>C6*E6</f>
        <v/>
      </c>
      <c r="G6" s="104" t="inlineStr">
        <is>
          <t>xl-byg.dk</t>
        </is>
      </c>
      <c r="H6" s="105" t="inlineStr">
        <is>
          <t>Venstre side + del af front/bag (~6,4 m)</t>
        </is>
      </c>
      <c r="I6" s="106" t="inlineStr">
        <is>
          <t>Hus</t>
        </is>
      </c>
    </row>
    <row r="7">
      <c r="A7" s="142" t="inlineStr">
        <is>
          <t>Træværk</t>
        </is>
      </c>
      <c r="B7" s="97" t="inlineStr">
        <is>
          <t>Imp. sternbræt 25×125×3600 gran (yard)</t>
        </is>
      </c>
      <c r="C7" s="97" t="n">
        <v>4</v>
      </c>
      <c r="D7" s="102" t="inlineStr">
        <is>
          <t>stk</t>
        </is>
      </c>
      <c r="E7" s="103" t="n">
        <v>82.59999999999999</v>
      </c>
      <c r="F7" s="103">
        <f>C7*E7</f>
        <v/>
      </c>
      <c r="G7" s="104" t="inlineStr">
        <is>
          <t>xl-byg.dk</t>
        </is>
      </c>
      <c r="H7" s="105" t="inlineStr">
        <is>
          <t>Højre side + resten af front/bag (~12,4 m)</t>
        </is>
      </c>
      <c r="I7" s="122" t="inlineStr">
        <is>
          <t>Yard</t>
        </is>
      </c>
    </row>
    <row r="8">
      <c r="E8" s="1" t="n"/>
      <c r="F8" s="1" t="n"/>
    </row>
    <row r="9">
      <c r="A9" s="115" t="inlineStr">
        <is>
          <t>Tagdækning</t>
        </is>
      </c>
      <c r="B9" s="97" t="inlineStr">
        <is>
          <t>Swisspearl B7 bølgeplade FK 1100×570 sortblå (hus)</t>
        </is>
      </c>
      <c r="C9" s="97" t="n">
        <v>15</v>
      </c>
      <c r="D9" s="102" t="inlineStr">
        <is>
          <t>stk</t>
        </is>
      </c>
      <c r="E9" s="103" t="n">
        <v>95</v>
      </c>
      <c r="F9" s="103">
        <f>C9*E9</f>
        <v/>
      </c>
      <c r="G9" s="104" t="inlineStr">
        <is>
          <t>bygxtra.dk</t>
        </is>
      </c>
      <c r="H9" s="105" t="inlineStr">
        <is>
          <t>2 plader × 7 rækker + 5 % spild</t>
        </is>
      </c>
      <c r="I9" s="106" t="inlineStr">
        <is>
          <t>Hus</t>
        </is>
      </c>
    </row>
    <row r="10">
      <c r="A10" s="142" t="inlineStr">
        <is>
          <t>Tagdækning</t>
        </is>
      </c>
      <c r="B10" s="97" t="inlineStr">
        <is>
          <t>Swisspearl B7 bølgeplade FK 1100×570 sortblå (yard)</t>
        </is>
      </c>
      <c r="C10" s="97" t="n">
        <v>37</v>
      </c>
      <c r="D10" s="102" t="inlineStr">
        <is>
          <t>stk</t>
        </is>
      </c>
      <c r="E10" s="103" t="n">
        <v>95</v>
      </c>
      <c r="F10" s="103">
        <f>C10*E10</f>
        <v/>
      </c>
      <c r="G10" s="104" t="inlineStr">
        <is>
          <t>bygxtra.dk</t>
        </is>
      </c>
      <c r="H10" s="105" t="inlineStr">
        <is>
          <t>5 plader × 7 rækker + 5 % spild</t>
        </is>
      </c>
      <c r="I10" s="122" t="inlineStr">
        <is>
          <t>Yard</t>
        </is>
      </c>
    </row>
    <row r="11">
      <c r="A11" s="142" t="inlineStr">
        <is>
          <t>Tagdækning</t>
        </is>
      </c>
      <c r="B11" s="97" t="inlineStr">
        <is>
          <t>Swisspearl 100 Tagskrue 6×100 (100-pak) (hus)</t>
        </is>
      </c>
      <c r="C11" s="97" t="n">
        <v>1</v>
      </c>
      <c r="D11" s="102" t="inlineStr">
        <is>
          <t>pak</t>
        </is>
      </c>
      <c r="E11" s="103" t="n">
        <v>425</v>
      </c>
      <c r="F11" s="103">
        <f>C11*E11</f>
        <v/>
      </c>
      <c r="G11" s="104" t="inlineStr">
        <is>
          <t>davidsen.dk</t>
        </is>
      </c>
      <c r="H11" s="105" t="inlineStr">
        <is>
          <t>2 pr. plade × 14 + spild</t>
        </is>
      </c>
      <c r="I11" s="106" t="inlineStr">
        <is>
          <t>Hus</t>
        </is>
      </c>
    </row>
    <row r="12">
      <c r="A12" s="142" t="inlineStr">
        <is>
          <t>Tagdækning</t>
        </is>
      </c>
      <c r="B12" s="97" t="inlineStr">
        <is>
          <t>Swisspearl 100 Tagskrue 6×100 (100-pak) (yard)</t>
        </is>
      </c>
      <c r="C12" s="97" t="n">
        <v>2</v>
      </c>
      <c r="D12" s="102" t="inlineStr">
        <is>
          <t>pak</t>
        </is>
      </c>
      <c r="E12" s="103" t="n">
        <v>425</v>
      </c>
      <c r="F12" s="103">
        <f>C12*E12</f>
        <v/>
      </c>
      <c r="G12" s="104" t="inlineStr">
        <is>
          <t>davidsen.dk</t>
        </is>
      </c>
      <c r="H12" s="105" t="inlineStr">
        <is>
          <t>2 pr. plade × 35 + spild</t>
        </is>
      </c>
      <c r="I12" s="122" t="inlineStr">
        <is>
          <t>Yard</t>
        </is>
      </c>
    </row>
    <row r="13">
      <c r="A13" s="142" t="inlineStr">
        <is>
          <t>Tagdækning</t>
        </is>
      </c>
      <c r="B13" s="97" t="inlineStr">
        <is>
          <t>Swisspearl PVC skumstrimmel 4,5 mm</t>
        </is>
      </c>
      <c r="C13" s="97" t="n">
        <v>1</v>
      </c>
      <c r="D13" s="102" t="inlineStr">
        <is>
          <t>rl.</t>
        </is>
      </c>
      <c r="E13" s="103" t="n"/>
      <c r="F13" s="103" t="n"/>
      <c r="G13" s="97" t="inlineStr">
        <is>
          <t>Cembrit</t>
        </is>
      </c>
      <c r="H13" s="105" t="inlineStr">
        <is>
          <t>TBD pris — overlap-tætning, én rulle deler</t>
        </is>
      </c>
      <c r="I13" s="107" t="inlineStr">
        <is>
          <t>Fælles</t>
        </is>
      </c>
    </row>
    <row r="14">
      <c r="E14" s="1" t="n"/>
      <c r="F14" s="1" t="n"/>
    </row>
    <row r="15">
      <c r="A15" s="115" t="inlineStr">
        <is>
          <t>Beslag</t>
        </is>
      </c>
      <c r="B15" s="97" t="inlineStr">
        <is>
          <t>Paslode vinkelbeslag 90×90×40 (20-pak) (hus)</t>
        </is>
      </c>
      <c r="C15" s="97" t="n">
        <v>1</v>
      </c>
      <c r="D15" s="102" t="inlineStr">
        <is>
          <t>pak</t>
        </is>
      </c>
      <c r="E15" s="103" t="n"/>
      <c r="F15" s="103" t="n"/>
      <c r="G15" s="104" t="inlineStr">
        <is>
          <t>wood-online.dk</t>
        </is>
      </c>
      <c r="H15" s="105" t="inlineStr">
        <is>
          <t>TBD pris — ~14 stk på hus-spær</t>
        </is>
      </c>
      <c r="I15" s="106" t="inlineStr">
        <is>
          <t>Hus</t>
        </is>
      </c>
    </row>
    <row r="16">
      <c r="A16" s="142" t="inlineStr">
        <is>
          <t>Beslag</t>
        </is>
      </c>
      <c r="B16" s="97" t="inlineStr">
        <is>
          <t>Paslode vinkelbeslag 90×90×40 (20-pak) (yard)</t>
        </is>
      </c>
      <c r="C16" s="97" t="n">
        <v>2</v>
      </c>
      <c r="D16" s="102" t="inlineStr">
        <is>
          <t>pak</t>
        </is>
      </c>
      <c r="E16" s="103" t="n"/>
      <c r="F16" s="103" t="n"/>
      <c r="G16" s="104" t="inlineStr">
        <is>
          <t>wood-online.dk</t>
        </is>
      </c>
      <c r="H16" s="105" t="inlineStr">
        <is>
          <t>TBD pris — ~34 stk på yard-spær</t>
        </is>
      </c>
      <c r="I16" s="122" t="inlineStr">
        <is>
          <t>Yard</t>
        </is>
      </c>
    </row>
    <row r="17">
      <c r="A17" s="142" t="inlineStr">
        <is>
          <t>Beslag</t>
        </is>
      </c>
      <c r="B17" s="97" t="inlineStr">
        <is>
          <t>Lægtesøm varmforzinket 2,8×60</t>
        </is>
      </c>
      <c r="C17" s="97" t="n"/>
      <c r="D17" s="102" t="inlineStr">
        <is>
          <t>stk</t>
        </is>
      </c>
      <c r="E17" s="103" t="n"/>
      <c r="F17" s="103" t="n"/>
      <c r="G17" s="97" t="inlineStr">
        <is>
          <t>jemogfix.dk</t>
        </is>
      </c>
      <c r="H17" s="105" t="inlineStr">
        <is>
          <t>TBD antal + pris</t>
        </is>
      </c>
      <c r="I17" s="107" t="inlineStr">
        <is>
          <t>Fælles</t>
        </is>
      </c>
    </row>
    <row r="18">
      <c r="E18" s="1" t="n"/>
      <c r="F18" s="1" t="n"/>
    </row>
    <row r="19">
      <c r="A19" s="114" t="inlineStr"/>
      <c r="B19" s="97" t="n"/>
      <c r="C19" s="97" t="n"/>
      <c r="D19" s="97" t="n"/>
      <c r="E19" s="130" t="inlineStr">
        <is>
          <t>TOTAL</t>
        </is>
      </c>
      <c r="F19" s="103" t="n"/>
      <c r="G19" s="97" t="n"/>
      <c r="H19" s="131">
        <f>SUM(F2:F17)</f>
        <v/>
      </c>
      <c r="I19" s="97" t="n"/>
    </row>
    <row r="20">
      <c r="A20" s="97" t="n"/>
      <c r="B20" s="97" t="n"/>
      <c r="C20" s="97" t="n"/>
      <c r="D20" s="97" t="n"/>
      <c r="E20" s="132" t="inlineStr">
        <is>
          <t>heraf Hus</t>
        </is>
      </c>
      <c r="F20" s="103" t="n"/>
      <c r="G20" s="97" t="n"/>
      <c r="H20" s="133">
        <f>SUMIF(I2:I17,"Hus",F2:F17)</f>
        <v/>
      </c>
      <c r="I20" s="97" t="n"/>
    </row>
    <row r="21">
      <c r="A21" s="97" t="n"/>
      <c r="B21" s="97" t="n"/>
      <c r="C21" s="97" t="n"/>
      <c r="D21" s="97" t="n"/>
      <c r="E21" s="134" t="inlineStr">
        <is>
          <t>heraf Yard</t>
        </is>
      </c>
      <c r="F21" s="103" t="n"/>
      <c r="G21" s="97" t="n"/>
      <c r="H21" s="135">
        <f>SUMIF(I2:I17,"Yard",F2:F17)</f>
        <v/>
      </c>
      <c r="I21" s="97" t="n"/>
    </row>
    <row r="22">
      <c r="A22" s="97" t="n"/>
      <c r="B22" s="97" t="n"/>
      <c r="C22" s="97" t="n"/>
      <c r="D22" s="97" t="n"/>
      <c r="E22" s="136" t="inlineStr">
        <is>
          <t>heraf Fælles</t>
        </is>
      </c>
      <c r="F22" s="103" t="n"/>
      <c r="G22" s="97" t="n"/>
      <c r="H22" s="137">
        <f>SUMIF(I2:I17,"Fælles",F2:F17)</f>
        <v/>
      </c>
      <c r="I22" s="97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5" r:id="rId11"/>
    <hyperlink xmlns:r="http://schemas.openxmlformats.org/officeDocument/2006/relationships" ref="G16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67" min="1" max="1"/>
    <col width="50" customWidth="1" style="67" min="2" max="2"/>
    <col width="8" customWidth="1" style="67" min="3" max="3"/>
    <col width="8" customWidth="1" style="67" min="4" max="4"/>
    <col width="16" customWidth="1" style="67" min="5" max="5"/>
    <col width="14" customWidth="1" style="67" min="6" max="6"/>
    <col width="24" customWidth="1" style="67" min="7" max="7"/>
    <col width="60" customWidth="1" style="67" min="8" max="8"/>
    <col width="10" customWidth="1" style="67" min="9" max="9"/>
  </cols>
  <sheetData>
    <row r="1" ht="22" customHeight="1" s="67">
      <c r="A1" s="99" t="inlineStr">
        <is>
          <t>Kategori</t>
        </is>
      </c>
      <c r="B1" s="99" t="inlineStr">
        <is>
          <t>Vare</t>
        </is>
      </c>
      <c r="C1" s="99" t="inlineStr">
        <is>
          <t>Antal</t>
        </is>
      </c>
      <c r="D1" s="99" t="inlineStr">
        <is>
          <t>Enhed</t>
        </is>
      </c>
      <c r="E1" s="99" t="inlineStr">
        <is>
          <t>Pris pr. enhed (DKK)</t>
        </is>
      </c>
      <c r="F1" s="99" t="inlineStr">
        <is>
          <t>I alt (DKK)</t>
        </is>
      </c>
      <c r="G1" s="99" t="inlineStr">
        <is>
          <t>Leverandør</t>
        </is>
      </c>
      <c r="H1" s="99" t="inlineStr">
        <is>
          <t>Noter</t>
        </is>
      </c>
      <c r="I1" s="99" t="inlineStr">
        <is>
          <t>Zone</t>
        </is>
      </c>
    </row>
    <row r="2">
      <c r="A2" s="143" t="inlineStr">
        <is>
          <t>Voliere</t>
        </is>
      </c>
      <c r="B2" s="97" t="inlineStr">
        <is>
          <t>Voliernet welded 13×13 mm</t>
        </is>
      </c>
      <c r="C2" s="97" t="n">
        <v>2</v>
      </c>
      <c r="D2" s="102" t="inlineStr">
        <is>
          <t>stk</t>
        </is>
      </c>
      <c r="E2" s="103" t="n">
        <v>1350</v>
      </c>
      <c r="F2" s="103">
        <f>C2*E2</f>
        <v/>
      </c>
      <c r="G2" s="97" t="inlineStr">
        <is>
          <t>(ukendt)</t>
        </is>
      </c>
      <c r="H2" s="105" t="inlineStr">
        <is>
          <t>1×10 m + 1×25 m — yard front+back+right</t>
        </is>
      </c>
      <c r="I2" s="122" t="inlineStr">
        <is>
          <t>Yard</t>
        </is>
      </c>
    </row>
    <row r="3">
      <c r="A3" s="144" t="inlineStr">
        <is>
          <t>Voliere</t>
        </is>
      </c>
      <c r="B3" s="97" t="inlineStr">
        <is>
          <t>Klamper til voliernet</t>
        </is>
      </c>
      <c r="C3" s="97" t="n"/>
      <c r="D3" s="102" t="inlineStr">
        <is>
          <t>stk</t>
        </is>
      </c>
      <c r="E3" s="103" t="n"/>
      <c r="F3" s="103" t="n"/>
      <c r="G3" s="97" t="inlineStr">
        <is>
          <t>jemogfix.dk</t>
        </is>
      </c>
      <c r="H3" s="105" t="inlineStr">
        <is>
          <t>TBD antal + pris</t>
        </is>
      </c>
      <c r="I3" s="122" t="inlineStr">
        <is>
          <t>Yard</t>
        </is>
      </c>
    </row>
    <row r="4">
      <c r="E4" s="1" t="n"/>
      <c r="F4" s="1" t="n"/>
    </row>
    <row r="5">
      <c r="A5" s="119" t="inlineStr">
        <is>
          <t>Beklædning</t>
        </is>
      </c>
      <c r="B5" s="97" t="inlineStr">
        <is>
          <t>Klinkbeklædning sortmalet gran 25×125×4200 (pak)</t>
        </is>
      </c>
      <c r="C5" s="97" t="n">
        <v>6</v>
      </c>
      <c r="D5" s="102" t="inlineStr">
        <is>
          <t>pak</t>
        </is>
      </c>
      <c r="E5" s="103" t="n">
        <v>497.7</v>
      </c>
      <c r="F5" s="103">
        <f>C5*E5</f>
        <v/>
      </c>
      <c r="G5" s="104" t="inlineStr">
        <is>
          <t>jemogfix.dk</t>
        </is>
      </c>
      <c r="H5" s="105" t="inlineStr">
        <is>
          <t>Frøslev klink; 4 hus-vægge</t>
        </is>
      </c>
      <c r="I5" s="106" t="inlineStr">
        <is>
          <t>Hus</t>
        </is>
      </c>
    </row>
    <row r="6">
      <c r="A6" s="145" t="inlineStr">
        <is>
          <t>Beklædning</t>
        </is>
      </c>
      <c r="B6" s="97" t="inlineStr">
        <is>
          <t>Vindpap (housewrap)</t>
        </is>
      </c>
      <c r="C6" s="97" t="n">
        <v>1</v>
      </c>
      <c r="D6" s="102" t="inlineStr">
        <is>
          <t>rl.</t>
        </is>
      </c>
      <c r="E6" s="103" t="n">
        <v>299</v>
      </c>
      <c r="F6" s="103">
        <f>C6*E6</f>
        <v/>
      </c>
      <c r="G6" s="104" t="inlineStr">
        <is>
          <t>jemogfix.dk</t>
        </is>
      </c>
      <c r="H6" s="105" t="inlineStr">
        <is>
          <t>20 m² pr. rulle; behov ~17,5 m² på 4 hus-vægge</t>
        </is>
      </c>
      <c r="I6" s="106" t="inlineStr">
        <is>
          <t>Hus</t>
        </is>
      </c>
    </row>
    <row r="7">
      <c r="A7" s="145" t="inlineStr">
        <is>
          <t>Beklædning</t>
        </is>
      </c>
      <c r="B7" s="97" t="inlineStr">
        <is>
          <t>Klemmelister 25×50×4200 mm</t>
        </is>
      </c>
      <c r="C7" s="97" t="n">
        <v>10</v>
      </c>
      <c r="D7" s="102" t="inlineStr">
        <is>
          <t>stk</t>
        </is>
      </c>
      <c r="E7" s="103" t="n">
        <v>28.35</v>
      </c>
      <c r="F7" s="103">
        <f>C7*E7</f>
        <v/>
      </c>
      <c r="G7" s="104" t="inlineStr">
        <is>
          <t>jemogfix.dk</t>
        </is>
      </c>
      <c r="H7" s="105" t="inlineStr">
        <is>
          <t>Lodrette afstandslister c/c 600 på hus-vægge</t>
        </is>
      </c>
      <c r="I7" s="106" t="inlineStr">
        <is>
          <t>Hus</t>
        </is>
      </c>
    </row>
    <row r="8">
      <c r="A8" s="145" t="inlineStr">
        <is>
          <t>Beklædning</t>
        </is>
      </c>
      <c r="B8" s="97" t="inlineStr">
        <is>
          <t>Hjørnetrim 45×45×2400 mm</t>
        </is>
      </c>
      <c r="C8" s="97" t="n">
        <v>4</v>
      </c>
      <c r="D8" s="102" t="inlineStr">
        <is>
          <t>stk</t>
        </is>
      </c>
      <c r="E8" s="103" t="n">
        <v>29.25</v>
      </c>
      <c r="F8" s="103">
        <f>C8*E8</f>
        <v/>
      </c>
      <c r="G8" s="104" t="inlineStr">
        <is>
          <t>jemogfix.dk</t>
        </is>
      </c>
      <c r="H8" s="105" t="inlineStr">
        <is>
          <t>4 udvendige hus-hjørner</t>
        </is>
      </c>
      <c r="I8" s="106" t="inlineStr">
        <is>
          <t>Hus</t>
        </is>
      </c>
    </row>
    <row r="9">
      <c r="A9" s="145" t="inlineStr">
        <is>
          <t>Beklædning</t>
        </is>
      </c>
      <c r="B9" s="97" t="inlineStr">
        <is>
          <t>Isolering mineraluld 95 mm</t>
        </is>
      </c>
      <c r="C9" s="97" t="n">
        <v>20</v>
      </c>
      <c r="D9" s="102" t="inlineStr">
        <is>
          <t>m²</t>
        </is>
      </c>
      <c r="E9" s="103" t="n">
        <v>29.61</v>
      </c>
      <c r="F9" s="103">
        <f>C9*E9</f>
        <v/>
      </c>
      <c r="G9" s="104" t="inlineStr">
        <is>
          <t>jemogfix.dk</t>
        </is>
      </c>
      <c r="H9" s="105" t="inlineStr">
        <is>
          <t>I hus-stud-rum (4 vægge)</t>
        </is>
      </c>
      <c r="I9" s="106" t="inlineStr">
        <is>
          <t>Hus</t>
        </is>
      </c>
    </row>
    <row r="10">
      <c r="E10" s="1" t="n"/>
      <c r="F10" s="1" t="n"/>
    </row>
    <row r="11">
      <c r="A11" s="118" t="inlineStr"/>
      <c r="B11" s="97" t="n"/>
      <c r="C11" s="97" t="n"/>
      <c r="D11" s="97" t="n"/>
      <c r="E11" s="130" t="inlineStr">
        <is>
          <t>TOTAL</t>
        </is>
      </c>
      <c r="F11" s="103" t="n"/>
      <c r="G11" s="97" t="n"/>
      <c r="H11" s="131">
        <f>SUM(F2:F9)</f>
        <v/>
      </c>
      <c r="I11" s="97" t="n"/>
    </row>
    <row r="12">
      <c r="A12" s="97" t="n"/>
      <c r="B12" s="97" t="n"/>
      <c r="C12" s="97" t="n"/>
      <c r="D12" s="97" t="n"/>
      <c r="E12" s="132" t="inlineStr">
        <is>
          <t>heraf Hus</t>
        </is>
      </c>
      <c r="F12" s="103" t="n"/>
      <c r="G12" s="97" t="n"/>
      <c r="H12" s="133">
        <f>SUMIF(I2:I9,"Hus",F2:F9)</f>
        <v/>
      </c>
      <c r="I12" s="97" t="n"/>
    </row>
    <row r="13">
      <c r="A13" s="97" t="n"/>
      <c r="B13" s="97" t="n"/>
      <c r="C13" s="97" t="n"/>
      <c r="D13" s="97" t="n"/>
      <c r="E13" s="134" t="inlineStr">
        <is>
          <t>heraf Yard</t>
        </is>
      </c>
      <c r="F13" s="103" t="n"/>
      <c r="G13" s="97" t="n"/>
      <c r="H13" s="135">
        <f>SUMIF(I2:I9,"Yard",F2:F9)</f>
        <v/>
      </c>
      <c r="I13" s="97" t="n"/>
    </row>
    <row r="14">
      <c r="A14" s="97" t="n"/>
      <c r="B14" s="97" t="n"/>
      <c r="C14" s="97" t="n"/>
      <c r="D14" s="97" t="n"/>
      <c r="E14" s="136" t="inlineStr">
        <is>
          <t>heraf Fælles</t>
        </is>
      </c>
      <c r="F14" s="103" t="n"/>
      <c r="G14" s="97" t="n"/>
      <c r="H14" s="137">
        <f>SUMIF(I2:I9,"Fælles",F2:F9)</f>
        <v/>
      </c>
      <c r="I14" s="97" t="n"/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67" min="1" max="1"/>
    <col width="50" customWidth="1" style="67" min="2" max="2"/>
    <col width="8" customWidth="1" style="67" min="3" max="3"/>
    <col width="8" customWidth="1" style="67" min="4" max="4"/>
    <col width="16" customWidth="1" style="67" min="5" max="5"/>
    <col width="14" customWidth="1" style="67" min="6" max="6"/>
    <col width="24" customWidth="1" style="67" min="7" max="7"/>
    <col width="60" customWidth="1" style="67" min="8" max="8"/>
    <col width="10" customWidth="1" style="67" min="9" max="9"/>
  </cols>
  <sheetData>
    <row r="1" ht="22" customHeight="1" s="67">
      <c r="A1" s="99" t="inlineStr">
        <is>
          <t>Kategori</t>
        </is>
      </c>
      <c r="B1" s="99" t="inlineStr">
        <is>
          <t>Vare</t>
        </is>
      </c>
      <c r="C1" s="99" t="inlineStr">
        <is>
          <t>Antal</t>
        </is>
      </c>
      <c r="D1" s="99" t="inlineStr">
        <is>
          <t>Enhed</t>
        </is>
      </c>
      <c r="E1" s="99" t="inlineStr">
        <is>
          <t>Pris pr. enhed (DKK)</t>
        </is>
      </c>
      <c r="F1" s="99" t="inlineStr">
        <is>
          <t>I alt (DKK)</t>
        </is>
      </c>
      <c r="G1" s="99" t="inlineStr">
        <is>
          <t>Leverandør</t>
        </is>
      </c>
      <c r="H1" s="99" t="inlineStr">
        <is>
          <t>Noter</t>
        </is>
      </c>
      <c r="I1" s="99" t="inlineStr">
        <is>
          <t>Zone</t>
        </is>
      </c>
    </row>
    <row r="2">
      <c r="A2" s="143" t="inlineStr">
        <is>
          <t>Voliere</t>
        </is>
      </c>
      <c r="B2" s="97" t="inlineStr">
        <is>
          <t>Voliernet welded 13×13 mm</t>
        </is>
      </c>
      <c r="C2" s="97" t="n">
        <v>2</v>
      </c>
      <c r="D2" s="102" t="inlineStr">
        <is>
          <t>stk</t>
        </is>
      </c>
      <c r="E2" s="103" t="n">
        <v>1350</v>
      </c>
      <c r="F2" s="103">
        <f>C2*E2</f>
        <v/>
      </c>
      <c r="G2" s="97" t="inlineStr">
        <is>
          <t>(ukendt)</t>
        </is>
      </c>
      <c r="H2" s="105" t="inlineStr">
        <is>
          <t>1×10 m + 1×25 m — yard front+back+right</t>
        </is>
      </c>
      <c r="I2" s="122" t="inlineStr">
        <is>
          <t>Yard</t>
        </is>
      </c>
    </row>
    <row r="3">
      <c r="A3" s="144" t="inlineStr">
        <is>
          <t>Voliere</t>
        </is>
      </c>
      <c r="B3" s="97" t="inlineStr">
        <is>
          <t>Klamper til voliernet</t>
        </is>
      </c>
      <c r="C3" s="97" t="n"/>
      <c r="D3" s="102" t="inlineStr">
        <is>
          <t>stk</t>
        </is>
      </c>
      <c r="E3" s="103" t="n"/>
      <c r="F3" s="103" t="n"/>
      <c r="G3" s="97" t="inlineStr">
        <is>
          <t>jemogfix.dk</t>
        </is>
      </c>
      <c r="H3" s="105" t="inlineStr">
        <is>
          <t>TBD antal + pris</t>
        </is>
      </c>
      <c r="I3" s="122" t="inlineStr">
        <is>
          <t>Yard</t>
        </is>
      </c>
    </row>
    <row r="4">
      <c r="E4" s="1" t="n"/>
      <c r="F4" s="1" t="n"/>
    </row>
    <row r="5">
      <c r="A5" s="146" t="inlineStr">
        <is>
          <t>Beklædning</t>
        </is>
      </c>
      <c r="B5" s="97" t="inlineStr">
        <is>
          <t>1-på-2 svensk gran 25×150 savskåret</t>
        </is>
      </c>
      <c r="C5" s="97" t="n">
        <v>16</v>
      </c>
      <c r="D5" s="102" t="inlineStr">
        <is>
          <t>m²</t>
        </is>
      </c>
      <c r="E5" s="103" t="n">
        <v>160</v>
      </c>
      <c r="F5" s="103">
        <f>C5*E5</f>
        <v/>
      </c>
      <c r="G5" s="104" t="inlineStr">
        <is>
          <t>arossavvaerk.dk</t>
        </is>
      </c>
      <c r="H5" s="105" t="inlineStr">
        <is>
          <t>Aros tilbudspris; normal 225 kr/m² — hus-vægge</t>
        </is>
      </c>
      <c r="I5" s="106" t="inlineStr">
        <is>
          <t>Hus</t>
        </is>
      </c>
    </row>
    <row r="6">
      <c r="A6" s="147" t="inlineStr">
        <is>
          <t>Beklædning</t>
        </is>
      </c>
      <c r="B6" s="97" t="inlineStr">
        <is>
          <t>Træolie/maling til naturligt træ</t>
        </is>
      </c>
      <c r="C6" s="97" t="n">
        <v>3</v>
      </c>
      <c r="D6" s="102" t="inlineStr">
        <is>
          <t>L</t>
        </is>
      </c>
      <c r="E6" s="103" t="n"/>
      <c r="F6" s="103" t="n"/>
      <c r="G6" s="97" t="inlineStr">
        <is>
          <t>(vælg selv)</t>
        </is>
      </c>
      <c r="H6" s="105" t="inlineStr">
        <is>
          <t>TBD — Gori/Cuprinol/Pinotex; klink er sortmalet</t>
        </is>
      </c>
      <c r="I6" s="106" t="inlineStr">
        <is>
          <t>Hus</t>
        </is>
      </c>
    </row>
    <row r="7">
      <c r="A7" s="147" t="inlineStr">
        <is>
          <t>Beklædning</t>
        </is>
      </c>
      <c r="B7" s="97" t="inlineStr">
        <is>
          <t>Vindpap (housewrap)</t>
        </is>
      </c>
      <c r="C7" s="97" t="n">
        <v>1</v>
      </c>
      <c r="D7" s="102" t="inlineStr">
        <is>
          <t>rl.</t>
        </is>
      </c>
      <c r="E7" s="103" t="n">
        <v>299</v>
      </c>
      <c r="F7" s="103">
        <f>C7*E7</f>
        <v/>
      </c>
      <c r="G7" s="104" t="inlineStr">
        <is>
          <t>jemogfix.dk</t>
        </is>
      </c>
      <c r="H7" s="105" t="inlineStr">
        <is>
          <t>Samme som klink — hus-vægge</t>
        </is>
      </c>
      <c r="I7" s="106" t="inlineStr">
        <is>
          <t>Hus</t>
        </is>
      </c>
    </row>
    <row r="8">
      <c r="A8" s="147" t="inlineStr">
        <is>
          <t>Beklædning</t>
        </is>
      </c>
      <c r="B8" s="97" t="inlineStr">
        <is>
          <t>Klemmelister 25×50×4200 mm</t>
        </is>
      </c>
      <c r="C8" s="97" t="n">
        <v>10</v>
      </c>
      <c r="D8" s="102" t="inlineStr">
        <is>
          <t>stk</t>
        </is>
      </c>
      <c r="E8" s="103" t="n">
        <v>28.35</v>
      </c>
      <c r="F8" s="103">
        <f>C8*E8</f>
        <v/>
      </c>
      <c r="G8" s="104" t="inlineStr">
        <is>
          <t>jemogfix.dk</t>
        </is>
      </c>
      <c r="H8" s="105" t="inlineStr">
        <is>
          <t>Vandrette afstandslister c/c 600 på hus-vægge</t>
        </is>
      </c>
      <c r="I8" s="106" t="inlineStr">
        <is>
          <t>Hus</t>
        </is>
      </c>
    </row>
    <row r="9">
      <c r="A9" s="147" t="inlineStr">
        <is>
          <t>Beklædning</t>
        </is>
      </c>
      <c r="B9" s="97" t="inlineStr">
        <is>
          <t>Hjørnetrim 70×70×2400 trykimp.</t>
        </is>
      </c>
      <c r="C9" s="97" t="n">
        <v>4</v>
      </c>
      <c r="D9" s="102" t="inlineStr">
        <is>
          <t>stk</t>
        </is>
      </c>
      <c r="E9" s="103" t="n"/>
      <c r="F9" s="103" t="n"/>
      <c r="G9" s="97" t="inlineStr">
        <is>
          <t>jemogfix.dk</t>
        </is>
      </c>
      <c r="H9" s="105" t="inlineStr">
        <is>
          <t>TBD — større end klink (bob stickout 50 mm)</t>
        </is>
      </c>
      <c r="I9" s="106" t="inlineStr">
        <is>
          <t>Hus</t>
        </is>
      </c>
    </row>
    <row r="10">
      <c r="A10" s="147" t="inlineStr">
        <is>
          <t>Beklædning</t>
        </is>
      </c>
      <c r="B10" s="97" t="inlineStr">
        <is>
          <t>Isolering mineraluld 95 mm</t>
        </is>
      </c>
      <c r="C10" s="97" t="n">
        <v>20</v>
      </c>
      <c r="D10" s="102" t="inlineStr">
        <is>
          <t>m²</t>
        </is>
      </c>
      <c r="E10" s="103" t="n">
        <v>29.61</v>
      </c>
      <c r="F10" s="103">
        <f>C10*E10</f>
        <v/>
      </c>
      <c r="G10" s="104" t="inlineStr">
        <is>
          <t>jemogfix.dk</t>
        </is>
      </c>
      <c r="H10" s="105" t="inlineStr">
        <is>
          <t>Samme som klink — hus-stud-rum</t>
        </is>
      </c>
      <c r="I10" s="106" t="inlineStr">
        <is>
          <t>Hus</t>
        </is>
      </c>
    </row>
    <row r="11">
      <c r="A11" s="147" t="inlineStr">
        <is>
          <t>Beklædning</t>
        </is>
      </c>
      <c r="B11" s="97" t="inlineStr">
        <is>
          <t>Rustfri A4 facadeskruer 4×60</t>
        </is>
      </c>
      <c r="C11" s="97" t="n"/>
      <c r="D11" s="102" t="inlineStr">
        <is>
          <t>pk.</t>
        </is>
      </c>
      <c r="E11" s="103" t="n"/>
      <c r="F11" s="103" t="n"/>
      <c r="G11" s="97" t="inlineStr">
        <is>
          <t>jemogfix.dk</t>
        </is>
      </c>
      <c r="H11" s="105" t="inlineStr">
        <is>
          <t>TBD antal + pris — flere end klink (2 lag)</t>
        </is>
      </c>
      <c r="I11" s="106" t="inlineStr">
        <is>
          <t>Hus</t>
        </is>
      </c>
    </row>
    <row r="12">
      <c r="E12" s="1" t="n"/>
      <c r="F12" s="1" t="n"/>
    </row>
    <row r="13">
      <c r="A13" s="148" t="inlineStr"/>
      <c r="B13" s="97" t="n"/>
      <c r="C13" s="97" t="n"/>
      <c r="D13" s="97" t="n"/>
      <c r="E13" s="130" t="inlineStr">
        <is>
          <t>TOTAL</t>
        </is>
      </c>
      <c r="F13" s="103" t="n"/>
      <c r="G13" s="97" t="n"/>
      <c r="H13" s="131">
        <f>SUM(F2:F11)</f>
        <v/>
      </c>
      <c r="I13" s="97" t="n"/>
    </row>
    <row r="14">
      <c r="A14" s="97" t="n"/>
      <c r="B14" s="97" t="n"/>
      <c r="C14" s="97" t="n"/>
      <c r="D14" s="97" t="n"/>
      <c r="E14" s="132" t="inlineStr">
        <is>
          <t>heraf Hus</t>
        </is>
      </c>
      <c r="F14" s="103" t="n"/>
      <c r="G14" s="97" t="n"/>
      <c r="H14" s="133">
        <f>SUMIF(I2:I11,"Hus",F2:F11)</f>
        <v/>
      </c>
      <c r="I14" s="97" t="n"/>
    </row>
    <row r="15">
      <c r="A15" s="97" t="n"/>
      <c r="B15" s="97" t="n"/>
      <c r="C15" s="97" t="n"/>
      <c r="D15" s="97" t="n"/>
      <c r="E15" s="134" t="inlineStr">
        <is>
          <t>heraf Yard</t>
        </is>
      </c>
      <c r="F15" s="103" t="n"/>
      <c r="G15" s="97" t="n"/>
      <c r="H15" s="135">
        <f>SUMIF(I2:I11,"Yard",F2:F11)</f>
        <v/>
      </c>
      <c r="I15" s="97" t="n"/>
    </row>
    <row r="16">
      <c r="A16" s="97" t="n"/>
      <c r="B16" s="97" t="n"/>
      <c r="C16" s="97" t="n"/>
      <c r="D16" s="97" t="n"/>
      <c r="E16" s="136" t="inlineStr">
        <is>
          <t>heraf Fælles</t>
        </is>
      </c>
      <c r="F16" s="103" t="n"/>
      <c r="G16" s="97" t="n"/>
      <c r="H16" s="137">
        <f>SUMIF(I2:I11,"Fælles",F2:F11)</f>
        <v/>
      </c>
      <c r="I16" s="97" t="n"/>
    </row>
  </sheetData>
  <hyperlinks>
    <hyperlink xmlns:r="http://schemas.openxmlformats.org/officeDocument/2006/relationships" ref="G5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10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Kasper Baun (Context&amp;)</dc:creator>
  <dcterms:created xmlns:dcterms="http://purl.org/dc/terms/" xmlns:xsi="http://www.w3.org/2001/XMLSchema-instance" xsi:type="dcterms:W3CDTF">2026-05-10T11:05:45Z</dcterms:created>
  <dcterms:modified xmlns:dcterms="http://purl.org/dc/terms/" xmlns:xsi="http://www.w3.org/2001/XMLSchema-instance" xsi:type="dcterms:W3CDTF">2026-05-21T16:47:10Z</dcterms:modified>
  <cp:lastModifiedBy>Kasper Baun (Context&amp;)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0x01010053414DE94637BA41B16756DFE4B8D2B8</vt:lpwstr>
  </property>
</Properties>
</file>